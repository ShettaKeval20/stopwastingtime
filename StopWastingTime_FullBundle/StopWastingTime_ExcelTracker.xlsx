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🏆 Identity Setup" sheetId="1" state="visible" r:id="rId3"/>
    <sheet name="📅 Daily Tracker" sheetId="2" state="visible" r:id="rId4"/>
    <sheet name="📊 Weekly Review" sheetId="3" state="visible" r:id="rId5"/>
    <sheet name="📈 Monthly Dashboard" sheetId="4" state="visible" r:id="rId6"/>
    <sheet name="🗺 12-Month Roadmap" sheetId="5" state="visible" r:id="rId7"/>
    <sheet name="🔥 Habit Scor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<sst xmlns="http://schemas.openxmlformats.org/spreadsheetml/2006/main" count="187" uniqueCount="161">
  <si>
    <t xml:space="preserve">⚡  STOP WASTING TIME  —  ATOMIC HABIT TRACKER</t>
  </si>
  <si>
    <t xml:space="preserve">Identity-Based System  |  Cue → Craving → Response → Reward</t>
  </si>
  <si>
    <t xml:space="preserve">  STEP 1 — WHO DO YOU WANT TO BECOME?</t>
  </si>
  <si>
    <t xml:space="preserve">Write your identity statement. Not what you want to DO — who you want to BE.</t>
  </si>
  <si>
    <t xml:space="preserve">I am someone who...</t>
  </si>
  <si>
    <t xml:space="preserve">← Type your answer here</t>
  </si>
  <si>
    <t xml:space="preserve">My core values are...</t>
  </si>
  <si>
    <t xml:space="preserve">In 12 months, I will be known for...</t>
  </si>
  <si>
    <t xml:space="preserve">  STEP 2 — THE 4 LAWS OF BEHAVIOUR CHANGE (Your Cheat Sheet)</t>
  </si>
  <si>
    <t xml:space="preserve">LAW 1</t>
  </si>
  <si>
    <t xml:space="preserve">MAKE IT OBVIOUS</t>
  </si>
  <si>
    <t xml:space="preserve">Remove phone from sight  |  Set out workout gear  |  Put book on pillow</t>
  </si>
  <si>
    <t xml:space="preserve">LAW 2</t>
  </si>
  <si>
    <t xml:space="preserve">MAKE IT ATTRACTIVE</t>
  </si>
  <si>
    <t xml:space="preserve">Pair habit with reward  |  Join accountability group  |  Temptation bundle</t>
  </si>
  <si>
    <t xml:space="preserve">LAW 3</t>
  </si>
  <si>
    <t xml:space="preserve">MAKE IT EASY</t>
  </si>
  <si>
    <t xml:space="preserve">2-minute rule  |  Reduce friction  |  Pre-decide next action</t>
  </si>
  <si>
    <t xml:space="preserve">LAW 4</t>
  </si>
  <si>
    <t xml:space="preserve">MAKE IT SATISFYING</t>
  </si>
  <si>
    <t xml:space="preserve">Habit tracker  |  Never miss twice  |  Immediate small reward</t>
  </si>
  <si>
    <t xml:space="preserve">  STEP 3 — DEFINE YOUR 10 HABITS  (Edit these — they sync across all sheets)</t>
  </si>
  <si>
    <t xml:space="preserve">#</t>
  </si>
  <si>
    <t xml:space="preserve">HABIT NAME</t>
  </si>
  <si>
    <t xml:space="preserve">CUE (What triggers it)</t>
  </si>
  <si>
    <t xml:space="preserve">CRAVING (Why you want it)</t>
  </si>
  <si>
    <t xml:space="preserve">CATEGORY</t>
  </si>
  <si>
    <t xml:space="preserve">LAW</t>
  </si>
  <si>
    <t xml:space="preserve">Wake Up Early (6am)</t>
  </si>
  <si>
    <t xml:space="preserve">Alarm goes off</t>
  </si>
  <si>
    <t xml:space="preserve">Start day with momentum</t>
  </si>
  <si>
    <t xml:space="preserve">Morning</t>
  </si>
  <si>
    <t xml:space="preserve">L1</t>
  </si>
  <si>
    <t xml:space="preserve">Morning Meditation</t>
  </si>
  <si>
    <t xml:space="preserve">After wake up</t>
  </si>
  <si>
    <t xml:space="preserve">Reduce stress</t>
  </si>
  <si>
    <t xml:space="preserve">Deep Work</t>
  </si>
  <si>
    <t xml:space="preserve">L2</t>
  </si>
  <si>
    <t xml:space="preserve">Deep Work Block (90 min)</t>
  </si>
  <si>
    <t xml:space="preserve">After morning routine</t>
  </si>
  <si>
    <t xml:space="preserve">Feel strong and healthy</t>
  </si>
  <si>
    <t xml:space="preserve">Health</t>
  </si>
  <si>
    <t xml:space="preserve">L3</t>
  </si>
  <si>
    <t xml:space="preserve">No Social Media Before 10am</t>
  </si>
  <si>
    <t xml:space="preserve">After deep work block</t>
  </si>
  <si>
    <t xml:space="preserve">Build expertise</t>
  </si>
  <si>
    <t xml:space="preserve">Mental</t>
  </si>
  <si>
    <t xml:space="preserve">L4</t>
  </si>
  <si>
    <t xml:space="preserve">Exercise / Move Body</t>
  </si>
  <si>
    <t xml:space="preserve">After lunch</t>
  </si>
  <si>
    <t xml:space="preserve">Feel connected</t>
  </si>
  <si>
    <t xml:space="preserve">Social</t>
  </si>
  <si>
    <t xml:space="preserve">Read 20 Pages</t>
  </si>
  <si>
    <t xml:space="preserve">Before 10am</t>
  </si>
  <si>
    <t xml:space="preserve">Protect focus</t>
  </si>
  <si>
    <t xml:space="preserve">Digital</t>
  </si>
  <si>
    <t xml:space="preserve">Healthy Meal / No Junk</t>
  </si>
  <si>
    <t xml:space="preserve">After work</t>
  </si>
  <si>
    <t xml:space="preserve">Build physical strength</t>
  </si>
  <si>
    <t xml:space="preserve">Physical</t>
  </si>
  <si>
    <t xml:space="preserve">Evening Shutdown Ritual</t>
  </si>
  <si>
    <t xml:space="preserve">After dinner</t>
  </si>
  <si>
    <t xml:space="preserve">End day clean</t>
  </si>
  <si>
    <t xml:space="preserve">Evening</t>
  </si>
  <si>
    <t xml:space="preserve">Journaling</t>
  </si>
  <si>
    <t xml:space="preserve">Before bed</t>
  </si>
  <si>
    <t xml:space="preserve">Grow mentally</t>
  </si>
  <si>
    <t xml:space="preserve">Learning</t>
  </si>
  <si>
    <t xml:space="preserve">Drink 8 Glasses of Water</t>
  </si>
  <si>
    <t xml:space="preserve">Every meal</t>
  </si>
  <si>
    <t xml:space="preserve">Stay energised</t>
  </si>
  <si>
    <t xml:space="preserve">Hydration</t>
  </si>
  <si>
    <t xml:space="preserve">⚠  Edit HABIT NAME in column C rows 25–34 — all other sheets will reference these automatically.</t>
  </si>
  <si>
    <t xml:space="preserve">📅  DAILY HABIT TRACKER</t>
  </si>
  <si>
    <t xml:space="preserve">MONTH:</t>
  </si>
  <si>
    <t xml:space="preserve">June</t>
  </si>
  <si>
    <t xml:space="preserve">YEAR:</t>
  </si>
  <si>
    <t xml:space="preserve">2026</t>
  </si>
  <si>
    <t xml:space="preserve">HABIT</t>
  </si>
  <si>
    <t xml:space="preserve">TOTAL</t>
  </si>
  <si>
    <t xml:space="preserve">GOAL</t>
  </si>
  <si>
    <t xml:space="preserve">% DONE</t>
  </si>
  <si>
    <t xml:space="preserve">DAILY TOTAL</t>
  </si>
  <si>
    <t xml:space="preserve">HOW TO USE: Type ✓ in each cell when habit is completed for that day  |  Goal = days per month you aim to complete  |  Green = done  |  Edit GOAL column to match your targets</t>
  </si>
  <si>
    <t xml:space="preserve">📊  WEEKLY REVIEW  —  ATOMIC PROGRESS TRACKER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</si>
  <si>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</si>
  <si>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</si>
  <si>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</si>
  <si>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</si>
  <si>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</si>
  <si>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MONTH TOTAL</t>
  </si>
  <si>
    <t xml:space="preserve">% HIT</t>
  </si>
  <si>
    <t xml:space="preserve">STATUS</t>
  </si>
  <si>
    <t xml:space="preserve">WEEKLY TOTAL</t>
  </si>
  <si>
    <t xml:space="preserve">  WEEKLY REFLECTION JOURNAL</t>
  </si>
  <si>
    <t xml:space="preserve">  What did I actually complete this week?</t>
  </si>
  <si>
    <t xml:space="preserve">← Write your answer here</t>
  </si>
  <si>
    <t xml:space="preserve">  Which habit needs the most attention?</t>
  </si>
  <si>
    <t xml:space="preserve">  What cue or trigger caused me to miss?</t>
  </si>
  <si>
    <t xml:space="preserve">  What environmental change will I make next week?</t>
  </si>
  <si>
    <t xml:space="preserve">  What is my MIT (Most Important Task) for Monday?</t>
  </si>
  <si>
    <t xml:space="preserve">  Did I follow my chronotype? (Y/N)</t>
  </si>
  <si>
    <t xml:space="preserve">📈  MONTHLY PROGRESS DASHBOARD</t>
  </si>
  <si>
    <t xml:space="preserve">TOTAL HABITS
COMPLETED</t>
  </si>
  <si>
    <t xml:space="preserve">BEST HABIT
(Most ✓ Days)</t>
  </si>
  <si>
    <t xml:space="preserve">OVERALL
COMPLETION</t>
  </si>
  <si>
    <t xml:space="preserve">STREAK TARGET
(Days All 10)</t>
  </si>
  <si>
    <t xml:space="preserve">  HABIT COMPLETION BY MONTH (Enter monthly totals — chart updates automatically)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</si>
  <si>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</si>
  <si>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</si>
  <si>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</si>
  <si>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</si>
  <si>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</si>
  <si>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</si>
  <si>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</si>
  <si>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</si>
  <si>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</si>
  <si>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</si>
  <si>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</si>
  <si>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</si>
  <si>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Month</t>
  </si>
  <si>
    <t xml:space="preserve">Avg Completion %</t>
  </si>
  <si>
    <t xml:space="preserve">🗺  12-MONTH ATOMIC HABIT ROADMAP  —  80% → 5% Distraction</t>
  </si>
  <si>
    <t xml:space="preserve">QUARTER</t>
  </si>
  <si>
    <t xml:space="preserve">MONTHS</t>
  </si>
  <si>
    <t xml:space="preserve">FOCUS AREAS</t>
  </si>
  <si>
    <t xml:space="preserve">DAILY ACTIONS</t>
  </si>
  <si>
    <t xml:space="preserve">TARGET</t>
  </si>
  <si>
    <t xml:space="preserve">Q1</t>
  </si>
  <si>
    <t xml:space="preserve">1–3</t>
  </si>
  <si>
    <t xml:space="preserve">Digital Traps + Morning Lock</t>
  </si>
  <si>
    <t xml:space="preserve">Delete 1 app/month  |  No phone first 60 min  |  Grayscale mode  |  3x/day phone checks only</t>
  </si>
  <si>
    <t xml:space="preserve">80% → 55%</t>
  </si>
  <si>
    <t xml:space="preserve">🔄 In Progress</t>
  </si>
  <si>
    <t xml:space="preserve">Q2</t>
  </si>
  <si>
    <t xml:space="preserve">4–6</t>
  </si>
  <si>
    <t xml:space="preserve">Fake Productivity + Decision Systems</t>
  </si>
  <si>
    <t xml:space="preserve">Freeze tools 90 days  |  MIT before email  |  Standardize breakfast/clothes  |  No email before 10am</t>
  </si>
  <si>
    <t xml:space="preserve">55% → 35%</t>
  </si>
  <si>
    <t xml:space="preserve">⏳ Upcoming</t>
  </si>
  <si>
    <t xml:space="preserve">Q3</t>
  </si>
  <si>
    <t xml:space="preserve">7–9</t>
  </si>
  <si>
    <t xml:space="preserve">Emotional Drains + Work Execution</t>
  </si>
  <si>
    <t xml:space="preserve">Implementation intentions  |  90-min single-task blocks  |  Shutdown ritual  |  No meetings without agenda</t>
  </si>
  <si>
    <t xml:space="preserve">35% → 18%</t>
  </si>
  <si>
    <t xml:space="preserve">Q4</t>
  </si>
  <si>
    <t xml:space="preserve">10–12</t>
  </si>
  <si>
    <t xml:space="preserve">Transition Control + Identity Lock</t>
  </si>
  <si>
    <t xml:space="preserve">Pre-write next task  |  Weekly review locked  |  Identity statement daily  |  Relapse protocol practiced</t>
  </si>
  <si>
    <t xml:space="preserve">18% → 5%</t>
  </si>
  <si>
    <t xml:space="preserve">⚡  THE ONE RULE:  Never let the environment make the decision for you. Design the environment. The behaviour follows automatically.</t>
  </si>
  <si>
    <t xml:space="preserve">🔥  HABIT SCORE CARD  —  How Consistent Are You?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</si>
  <si>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</si>
  <si>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</si>
  <si>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</si>
  <si>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</si>
  <si>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</si>
  <si>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</si>
  <si>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AVG %</t>
  </si>
  <si>
    <t xml:space="preserve">GRADE</t>
  </si>
  <si>
    <t xml:space="preserve">GRADE SCALE:  S (≥90%) = ELITE  |  A (≥75%) = STRONG  |  B (≥60%) = BUILDING  |  C (≥45%) = INCONSISTENT  |  D (&lt;45%) = RESTART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</si>
</sst>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0A0A0A"/>
      <name val="Arial"/>
      <family val="0"/>
      <charset val="1"/>
    </font>
    <font>
      <i val="true"/>
      <sz val="10"/>
      <color rgb="FFE8C97A"/>
      <name val="Arial"/>
      <family val="0"/>
      <charset val="1"/>
    </font>
    <font>
      <b val="true"/>
      <sz val="11"/>
      <color rgb="FF0A0A0A"/>
      <name val="Arial"/>
      <family val="0"/>
      <charset val="1"/>
    </font>
    <font>
      <i val="true"/>
      <sz val="9"/>
      <color rgb="FF707070"/>
      <name val="Arial"/>
      <family val="0"/>
      <charset val="1"/>
    </font>
    <font>
      <b val="true"/>
      <sz val="10"/>
      <color rgb="FFC9A84C"/>
      <name val="Arial"/>
      <family val="0"/>
      <charset val="1"/>
    </font>
    <font>
      <i val="true"/>
      <sz val="10"/>
      <color rgb="FF707070"/>
      <name val="Arial"/>
      <family val="0"/>
      <charset val="1"/>
    </font>
    <font>
      <b val="true"/>
      <sz val="9"/>
      <color rgb="FF0A0A0A"/>
      <name val="Arial"/>
      <family val="0"/>
      <charset val="1"/>
    </font>
    <font>
      <b val="true"/>
      <sz val="10"/>
      <color rgb="FFE8C97A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9"/>
      <color rgb="FFC9A84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E8C97A"/>
      <name val="Arial"/>
      <family val="0"/>
      <charset val="1"/>
    </font>
    <font>
      <sz val="9"/>
      <color rgb="FF707070"/>
      <name val="Arial"/>
      <family val="0"/>
      <charset val="1"/>
    </font>
    <font>
      <sz val="9"/>
      <color rgb="FFC9A84C"/>
      <name val="Arial"/>
      <family val="0"/>
      <charset val="1"/>
    </font>
    <font>
      <i val="true"/>
      <sz val="9"/>
      <color rgb="FFF39C12"/>
      <name val="Arial"/>
      <family val="0"/>
      <charset val="1"/>
    </font>
    <font>
      <b val="true"/>
      <sz val="18"/>
      <color rgb="FF0A0A0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0A0A0A"/>
      <name val="Arial"/>
      <family val="0"/>
      <charset val="1"/>
    </font>
    <font>
      <b val="true"/>
      <sz val="9"/>
      <color rgb="FFE8C97A"/>
      <name val="Arial"/>
      <family val="0"/>
      <charset val="1"/>
    </font>
    <font>
      <b val="true"/>
      <sz val="10"/>
      <color rgb="FF2ECC71"/>
      <name val="Arial"/>
      <family val="0"/>
      <charset val="1"/>
    </font>
    <font>
      <i val="true"/>
      <sz val="8"/>
      <color rgb="FF707070"/>
      <name val="Arial"/>
      <family val="0"/>
      <charset val="1"/>
    </font>
    <font>
      <b val="true"/>
      <sz val="8"/>
      <color rgb="FFE8C97A"/>
      <name val="Arial"/>
      <family val="0"/>
      <charset val="1"/>
    </font>
    <font>
      <b val="true"/>
      <sz val="10"/>
      <color rgb="FF0A0A0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0A0A0A"/>
      <name val="Arial"/>
      <family val="0"/>
      <charset val="1"/>
    </font>
    <font>
      <b val="true"/>
      <sz val="14"/>
      <color rgb="FF0A0A0A"/>
      <name val="Arial"/>
      <family val="0"/>
      <charset val="1"/>
    </font>
    <font>
      <b val="true"/>
      <sz val="11"/>
      <color rgb="FFE8C97A"/>
      <name val="Arial"/>
      <family val="0"/>
      <charset val="1"/>
    </font>
    <font>
      <b val="true"/>
      <sz val="12"/>
      <color rgb="FF0A0A0A"/>
      <name val="Arial"/>
      <family val="0"/>
      <charset val="1"/>
    </font>
    <font>
      <b val="true"/>
      <sz val="9"/>
      <color rgb="FF707070"/>
      <name val="Arial"/>
      <family val="0"/>
      <charset val="1"/>
    </font>
    <font>
      <b val="true"/>
      <i val="true"/>
      <sz val="11"/>
      <color rgb="FF0A0A0A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A0A0A"/>
        <bgColor rgb="FF000000"/>
      </patternFill>
    </fill>
    <fill>
      <patternFill patternType="solid">
        <fgColor rgb="FFC9A84C"/>
        <bgColor rgb="FFD4A843"/>
      </patternFill>
    </fill>
    <fill>
      <patternFill patternType="solid">
        <fgColor rgb="FF1A1A1A"/>
        <bgColor rgb="FF1A2E1A"/>
      </patternFill>
    </fill>
    <fill>
      <patternFill patternType="solid">
        <fgColor rgb="FF2D2D2D"/>
        <bgColor rgb="FF1A2E1A"/>
      </patternFill>
    </fill>
    <fill>
      <patternFill patternType="solid">
        <fgColor rgb="FFA07830"/>
        <bgColor rgb="FFA08028"/>
      </patternFill>
    </fill>
    <fill>
      <patternFill patternType="solid">
        <fgColor rgb="FF404040"/>
        <bgColor rgb="FF2D2D2D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>
        <color rgb="FFA07830"/>
      </left>
      <right/>
      <top style="medium">
        <color rgb="FFA07830"/>
      </top>
      <bottom style="medium">
        <color rgb="FFA07830"/>
      </bottom>
      <diagonal/>
    </border>
    <border diagonalUp="false" diagonalDown="false">
      <left style="thin">
        <color rgb="FFA07830"/>
      </left>
      <right/>
      <top style="thin">
        <color rgb="FFA07830"/>
      </top>
      <bottom style="thin">
        <color rgb="FFA07830"/>
      </bottom>
      <diagonal/>
    </border>
    <border diagonalUp="false" diagonalDown="false">
      <left style="thin">
        <color rgb="FF404040"/>
      </left>
      <right/>
      <top style="thin">
        <color rgb="FF404040"/>
      </top>
      <bottom style="thin">
        <color rgb="FF404040"/>
      </bottom>
      <diagonal/>
    </border>
    <border diagonalUp="false" diagonalDown="false">
      <left style="thin">
        <color rgb="FFA07830"/>
      </left>
      <right style="thin">
        <color rgb="FFA07830"/>
      </right>
      <top style="thin">
        <color rgb="FFA07830"/>
      </top>
      <bottom style="thin">
        <color rgb="FFA07830"/>
      </bottom>
      <diagonal/>
    </border>
    <border diagonalUp="false" diagonalDown="false"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 diagonalUp="false" diagonalDown="false">
      <left style="medium">
        <color rgb="FFA07830"/>
      </left>
      <right/>
      <top style="medium">
        <color rgb="FFA07830"/>
      </top>
      <bottom/>
      <diagonal/>
    </border>
    <border diagonalUp="false" diagonalDown="false">
      <left style="medium">
        <color rgb="FFA07830"/>
      </left>
      <right style="medium">
        <color rgb="FFA07830"/>
      </right>
      <top style="medium">
        <color rgb="FFA07830"/>
      </top>
      <bottom/>
      <diagonal/>
    </border>
    <border diagonalUp="false" diagonalDown="false">
      <left style="thin">
        <color rgb="FFA07830"/>
      </left>
      <right style="thin">
        <color rgb="FFA07830"/>
      </right>
      <top style="thin">
        <color rgb="FFA07830"/>
      </top>
      <bottom/>
      <diagonal/>
    </border>
    <border diagonalUp="false" diagonalDown="false">
      <left style="thin">
        <color rgb="FF404040"/>
      </left>
      <right style="thin">
        <color rgb="FF404040"/>
      </right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6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2ECC71"/>
        <sz val="10"/>
      </font>
      <fill>
        <patternFill>
          <bgColor rgb="FF1A2E1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A0A0A"/>
      <rgbColor rgb="FF8B7536"/>
      <rgbColor rgb="FF800080"/>
      <rgbColor rgb="FF008080"/>
      <rgbColor rgb="FFE8C97A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2C3D5"/>
      <rgbColor rgb="FFFF99CC"/>
      <rgbColor rgb="FFCC99FF"/>
      <rgbColor rgb="FFF0D080"/>
      <rgbColor rgb="FF4F81BD"/>
      <rgbColor rgb="FF2ECC71"/>
      <rgbColor rgb="FF99CC00"/>
      <rgbColor rgb="FFD4A843"/>
      <rgbColor rgb="FFF39C12"/>
      <rgbColor rgb="FFA08028"/>
      <rgbColor rgb="FF707070"/>
      <rgbColor rgb="FFC9A84C"/>
      <rgbColor rgb="FF003366"/>
      <rgbColor rgb="FF339966"/>
      <rgbColor rgb="FF1A1A1A"/>
      <rgbColor rgb="FF1A2E1A"/>
      <rgbColor rgb="FFA07830"/>
      <rgbColor rgb="FF993366"/>
      <rgbColor rgb="FF404040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Habit Completion (Jan–Jun)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'📈 Monthly Dashboard'!C6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rgbClr val="a07830"/>
            </a:solidFill>
            <a:ln w="9360">
              <a:solidFill>
                <a:srgbClr val="0a0a0a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Monthly Dashboard'!$B$7:$B$17</c:f>
              <c:strCache>
                <c:ptCount val="11"/>
                <c:pt idx="0">
                  <c:v>Wake Up Early (6am)</c:v>
                </c:pt>
                <c:pt idx="1">
                  <c:v>Morning Meditation</c:v>
                </c:pt>
                <c:pt idx="2">
                  <c:v>Deep Work Block (90 min)</c:v>
                </c:pt>
                <c:pt idx="3">
                  <c:v>No Social Media Before 10am</c:v>
                </c:pt>
                <c:pt idx="4">
                  <c:v>Exercise / Move Body</c:v>
                </c:pt>
                <c:pt idx="5">
                  <c:v>Read 20 Pages</c:v>
                </c:pt>
                <c:pt idx="6">
                  <c:v>Healthy Meal / No Junk</c:v>
                </c:pt>
                <c:pt idx="7">
                  <c:v>Evening Shutdown Ritual</c:v>
                </c:pt>
                <c:pt idx="8">
                  <c:v>Journaling</c:v>
                </c:pt>
                <c:pt idx="9">
                  <c:v>Drink 8 Glasses of Water</c:v>
                </c:pt>
                <c:pt idx="10">
                  <c:v/>
                </c:pt>
              </c:strCache>
            </c:strRef>
          </c:cat>
          <c:val>
            <c:numRef>
              <c:f>'📈 Monthly Dashboard'!$C$7:$C$17</c:f>
              <c:numCache>
                <c:formatCode>General</c:formatCode>
                <c:ptCount val="11"/>
                <c:pt idx="0">
                  <c:v>18</c:v>
                </c:pt>
                <c:pt idx="1">
                  <c:v>15</c:v>
                </c:pt>
                <c:pt idx="2">
                  <c:v>20</c:v>
                </c:pt>
                <c:pt idx="3">
                  <c:v>12</c:v>
                </c:pt>
                <c:pt idx="4">
                  <c:v>22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14</c:v>
                </c:pt>
                <c:pt idx="9">
                  <c:v>25</c:v>
                </c:pt>
              </c:numCache>
            </c:numRef>
          </c:val>
        </c:ser>
        <c:ser>
          <c:idx val="1"/>
          <c:order val="1"/>
          <c:tx>
            <c:strRef>
              <c:f>'📈 Monthly Dashboard'!D6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rgbClr val="c9a84c"/>
            </a:solidFill>
            <a:ln w="9360">
              <a:solidFill>
                <a:srgbClr val="0a0a0a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Monthly Dashboard'!$B$7:$B$17</c:f>
              <c:strCache>
                <c:ptCount val="11"/>
                <c:pt idx="0">
                  <c:v>Wake Up Early (6am)</c:v>
                </c:pt>
                <c:pt idx="1">
                  <c:v>Morning Meditation</c:v>
                </c:pt>
                <c:pt idx="2">
                  <c:v>Deep Work Block (90 min)</c:v>
                </c:pt>
                <c:pt idx="3">
                  <c:v>No Social Media Before 10am</c:v>
                </c:pt>
                <c:pt idx="4">
                  <c:v>Exercise / Move Body</c:v>
                </c:pt>
                <c:pt idx="5">
                  <c:v>Read 20 Pages</c:v>
                </c:pt>
                <c:pt idx="6">
                  <c:v>Healthy Meal / No Junk</c:v>
                </c:pt>
                <c:pt idx="7">
                  <c:v>Evening Shutdown Ritual</c:v>
                </c:pt>
                <c:pt idx="8">
                  <c:v>Journaling</c:v>
                </c:pt>
                <c:pt idx="9">
                  <c:v>Drink 8 Glasses of Water</c:v>
                </c:pt>
                <c:pt idx="10">
                  <c:v/>
                </c:pt>
              </c:strCache>
            </c:strRef>
          </c:cat>
          <c:val>
            <c:numRef>
              <c:f>'📈 Monthly Dashboard'!$D$7:$D$17</c:f>
              <c:numCache>
                <c:formatCode>General</c:formatCode>
                <c:ptCount val="11"/>
                <c:pt idx="0">
                  <c:v>22</c:v>
                </c:pt>
                <c:pt idx="1">
                  <c:v>18</c:v>
                </c:pt>
                <c:pt idx="2">
                  <c:v>24</c:v>
                </c:pt>
                <c:pt idx="3">
                  <c:v>16</c:v>
                </c:pt>
                <c:pt idx="4">
                  <c:v>25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17</c:v>
                </c:pt>
                <c:pt idx="9">
                  <c:v>27</c:v>
                </c:pt>
              </c:numCache>
            </c:numRef>
          </c:val>
        </c:ser>
        <c:ser>
          <c:idx val="2"/>
          <c:order val="2"/>
          <c:tx>
            <c:strRef>
              <c:f>'📈 Monthly Dashboard'!E6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rgbClr val="e8c97a"/>
            </a:solidFill>
            <a:ln w="9360">
              <a:solidFill>
                <a:srgbClr val="0a0a0a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Monthly Dashboard'!$B$7:$B$17</c:f>
              <c:strCache>
                <c:ptCount val="11"/>
                <c:pt idx="0">
                  <c:v>Wake Up Early (6am)</c:v>
                </c:pt>
                <c:pt idx="1">
                  <c:v>Morning Meditation</c:v>
                </c:pt>
                <c:pt idx="2">
                  <c:v>Deep Work Block (90 min)</c:v>
                </c:pt>
                <c:pt idx="3">
                  <c:v>No Social Media Before 10am</c:v>
                </c:pt>
                <c:pt idx="4">
                  <c:v>Exercise / Move Body</c:v>
                </c:pt>
                <c:pt idx="5">
                  <c:v>Read 20 Pages</c:v>
                </c:pt>
                <c:pt idx="6">
                  <c:v>Healthy Meal / No Junk</c:v>
                </c:pt>
                <c:pt idx="7">
                  <c:v>Evening Shutdown Ritual</c:v>
                </c:pt>
                <c:pt idx="8">
                  <c:v>Journaling</c:v>
                </c:pt>
                <c:pt idx="9">
                  <c:v>Drink 8 Glasses of Water</c:v>
                </c:pt>
                <c:pt idx="10">
                  <c:v/>
                </c:pt>
              </c:strCache>
            </c:strRef>
          </c:cat>
          <c:val>
            <c:numRef>
              <c:f>'📈 Monthly Dashboard'!$E$7:$E$17</c:f>
              <c:numCache>
                <c:formatCode>General</c:formatCode>
                <c:ptCount val="11"/>
                <c:pt idx="0">
                  <c:v>25</c:v>
                </c:pt>
                <c:pt idx="1">
                  <c:v>20</c:v>
                </c:pt>
                <c:pt idx="2">
                  <c:v>26</c:v>
                </c:pt>
                <c:pt idx="3">
                  <c:v>19</c:v>
                </c:pt>
                <c:pt idx="4">
                  <c:v>27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  <c:pt idx="8">
                  <c:v>19</c:v>
                </c:pt>
                <c:pt idx="9">
                  <c:v>28</c:v>
                </c:pt>
              </c:numCache>
            </c:numRef>
          </c:val>
        </c:ser>
        <c:ser>
          <c:idx val="3"/>
          <c:order val="3"/>
          <c:tx>
            <c:strRef>
              <c:f>'📈 Monthly Dashboard'!F6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rgbClr val="1a1a1a"/>
            </a:solidFill>
            <a:ln w="9360">
              <a:solidFill>
                <a:srgbClr val="0a0a0a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Monthly Dashboard'!$B$7:$B$17</c:f>
              <c:strCache>
                <c:ptCount val="11"/>
                <c:pt idx="0">
                  <c:v>Wake Up Early (6am)</c:v>
                </c:pt>
                <c:pt idx="1">
                  <c:v>Morning Meditation</c:v>
                </c:pt>
                <c:pt idx="2">
                  <c:v>Deep Work Block (90 min)</c:v>
                </c:pt>
                <c:pt idx="3">
                  <c:v>No Social Media Before 10am</c:v>
                </c:pt>
                <c:pt idx="4">
                  <c:v>Exercise / Move Body</c:v>
                </c:pt>
                <c:pt idx="5">
                  <c:v>Read 20 Pages</c:v>
                </c:pt>
                <c:pt idx="6">
                  <c:v>Healthy Meal / No Junk</c:v>
                </c:pt>
                <c:pt idx="7">
                  <c:v>Evening Shutdown Ritual</c:v>
                </c:pt>
                <c:pt idx="8">
                  <c:v>Journaling</c:v>
                </c:pt>
                <c:pt idx="9">
                  <c:v>Drink 8 Glasses of Water</c:v>
                </c:pt>
                <c:pt idx="10">
                  <c:v/>
                </c:pt>
              </c:strCache>
            </c:strRef>
          </c:cat>
          <c:val>
            <c:numRef>
              <c:f>'📈 Monthly Dashboard'!$F$7:$F$17</c:f>
              <c:numCache>
                <c:formatCode>General</c:formatCode>
                <c:ptCount val="11"/>
                <c:pt idx="0">
                  <c:v>20</c:v>
                </c:pt>
                <c:pt idx="1">
                  <c:v>22</c:v>
                </c:pt>
                <c:pt idx="2">
                  <c:v>28</c:v>
                </c:pt>
                <c:pt idx="3">
                  <c:v>21</c:v>
                </c:pt>
                <c:pt idx="4">
                  <c:v>26</c:v>
                </c:pt>
                <c:pt idx="5">
                  <c:v>25</c:v>
                </c:pt>
                <c:pt idx="6">
                  <c:v>26</c:v>
                </c:pt>
                <c:pt idx="7">
                  <c:v>25</c:v>
                </c:pt>
                <c:pt idx="8">
                  <c:v>22</c:v>
                </c:pt>
                <c:pt idx="9">
                  <c:v>29</c:v>
                </c:pt>
              </c:numCache>
            </c:numRef>
          </c:val>
        </c:ser>
        <c:ser>
          <c:idx val="4"/>
          <c:order val="4"/>
          <c:tx>
            <c:strRef>
              <c:f>'📈 Monthly Dashboard'!G6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rgbClr val="404040"/>
            </a:solidFill>
            <a:ln w="9360">
              <a:solidFill>
                <a:srgbClr val="0a0a0a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Monthly Dashboard'!$B$7:$B$17</c:f>
              <c:strCache>
                <c:ptCount val="11"/>
                <c:pt idx="0">
                  <c:v>Wake Up Early (6am)</c:v>
                </c:pt>
                <c:pt idx="1">
                  <c:v>Morning Meditation</c:v>
                </c:pt>
                <c:pt idx="2">
                  <c:v>Deep Work Block (90 min)</c:v>
                </c:pt>
                <c:pt idx="3">
                  <c:v>No Social Media Before 10am</c:v>
                </c:pt>
                <c:pt idx="4">
                  <c:v>Exercise / Move Body</c:v>
                </c:pt>
                <c:pt idx="5">
                  <c:v>Read 20 Pages</c:v>
                </c:pt>
                <c:pt idx="6">
                  <c:v>Healthy Meal / No Junk</c:v>
                </c:pt>
                <c:pt idx="7">
                  <c:v>Evening Shutdown Ritual</c:v>
                </c:pt>
                <c:pt idx="8">
                  <c:v>Journaling</c:v>
                </c:pt>
                <c:pt idx="9">
                  <c:v>Drink 8 Glasses of Water</c:v>
                </c:pt>
                <c:pt idx="10">
                  <c:v/>
                </c:pt>
              </c:strCache>
            </c:strRef>
          </c:cat>
          <c:val>
            <c:numRef>
              <c:f>'📈 Monthly Dashboard'!$G$7:$G$17</c:f>
              <c:numCache>
                <c:formatCode>General</c:formatCode>
                <c:ptCount val="11"/>
                <c:pt idx="0">
                  <c:v>28</c:v>
                </c:pt>
                <c:pt idx="1">
                  <c:v>25</c:v>
                </c:pt>
                <c:pt idx="2">
                  <c:v>30</c:v>
                </c:pt>
                <c:pt idx="3">
                  <c:v>24</c:v>
                </c:pt>
                <c:pt idx="4">
                  <c:v>28</c:v>
                </c:pt>
                <c:pt idx="5">
                  <c:v>27</c:v>
                </c:pt>
                <c:pt idx="6">
                  <c:v>28</c:v>
                </c:pt>
                <c:pt idx="7">
                  <c:v>27</c:v>
                </c:pt>
                <c:pt idx="8">
                  <c:v>25</c:v>
                </c:pt>
                <c:pt idx="9">
                  <c:v>30</c:v>
                </c:pt>
              </c:numCache>
            </c:numRef>
          </c:val>
        </c:ser>
        <c:ser>
          <c:idx val="5"/>
          <c:order val="5"/>
          <c:tx>
            <c:strRef>
              <c:f>'📈 Monthly Dashboard'!H6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rgbClr val="707070"/>
            </a:solidFill>
            <a:ln w="9360">
              <a:solidFill>
                <a:srgbClr val="0a0a0a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Monthly Dashboard'!$B$7:$B$17</c:f>
              <c:strCache>
                <c:ptCount val="11"/>
                <c:pt idx="0">
                  <c:v>Wake Up Early (6am)</c:v>
                </c:pt>
                <c:pt idx="1">
                  <c:v>Morning Meditation</c:v>
                </c:pt>
                <c:pt idx="2">
                  <c:v>Deep Work Block (90 min)</c:v>
                </c:pt>
                <c:pt idx="3">
                  <c:v>No Social Media Before 10am</c:v>
                </c:pt>
                <c:pt idx="4">
                  <c:v>Exercise / Move Body</c:v>
                </c:pt>
                <c:pt idx="5">
                  <c:v>Read 20 Pages</c:v>
                </c:pt>
                <c:pt idx="6">
                  <c:v>Healthy Meal / No Junk</c:v>
                </c:pt>
                <c:pt idx="7">
                  <c:v>Evening Shutdown Ritual</c:v>
                </c:pt>
                <c:pt idx="8">
                  <c:v>Journaling</c:v>
                </c:pt>
                <c:pt idx="9">
                  <c:v>Drink 8 Glasses of Water</c:v>
                </c:pt>
                <c:pt idx="10">
                  <c:v/>
                </c:pt>
              </c:strCache>
            </c:strRef>
          </c:cat>
          <c:val>
            <c:numRef>
              <c:f>'📈 Monthly Dashboard'!$H$7:$H$17</c:f>
              <c:numCache>
                <c:formatCode>General</c:formatCode>
                <c:ptCount val="11"/>
                <c:pt idx="0">
                  <c:v>24</c:v>
                </c:pt>
                <c:pt idx="1">
                  <c:v>23</c:v>
                </c:pt>
                <c:pt idx="2">
                  <c:v>27</c:v>
                </c:pt>
                <c:pt idx="3">
                  <c:v>22</c:v>
                </c:pt>
                <c:pt idx="4">
                  <c:v>25</c:v>
                </c:pt>
                <c:pt idx="5">
                  <c:v>24</c:v>
                </c:pt>
                <c:pt idx="6">
                  <c:v>26</c:v>
                </c:pt>
                <c:pt idx="7">
                  <c:v>25</c:v>
                </c:pt>
                <c:pt idx="8">
                  <c:v>23</c:v>
                </c:pt>
                <c:pt idx="9">
                  <c:v>28</c:v>
                </c:pt>
              </c:numCache>
            </c:numRef>
          </c:val>
        </c:ser>
        <c:gapWidth val="150"/>
        <c:overlap val="0"/>
        <c:axId val="6177903"/>
        <c:axId val="27100112"/>
      </c:barChart>
      <c:catAx>
        <c:axId val="61779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100112"/>
        <c:crosses val="autoZero"/>
        <c:auto val="1"/>
        <c:lblAlgn val="ctr"/>
        <c:lblOffset val="100"/>
        <c:noMultiLvlLbl val="0"/>
      </c:catAx>
      <c:valAx>
        <c:axId val="271001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Days Completed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779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Overall Completion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'📈 Monthly Dashboard'!Q6</c:f>
              <c:strCache>
                <c:ptCount val="1"/>
                <c:pt idx="0">
                  <c:v>Avg Completion %</c:v>
                </c:pt>
              </c:strCache>
            </c:strRef>
          </c:tx>
          <c:spPr>
            <a:solidFill>
              <a:srgbClr val="c9a84c"/>
            </a:solidFill>
            <a:ln w="28080">
              <a:solidFill>
                <a:srgbClr val="c9a84c"/>
              </a:solidFill>
              <a:round/>
            </a:ln>
          </c:spPr>
          <c:marker>
            <c:symbol val="diamond"/>
            <c:size val="5"/>
            <c:spPr>
              <a:solidFill>
                <a:srgbClr val="c9a84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Monthly Dashboard'!$P$7:$P$12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'📈 Monthly Dashboard'!$Q$7:$Q$12</c:f>
              <c:numCache>
                <c:formatCode>0%</c:formatCode>
                <c:ptCount val="6"/>
                <c:pt idx="0">
                  <c:v>0.581</c:v>
                </c:pt>
                <c:pt idx="1">
                  <c:v>0.684</c:v>
                </c:pt>
                <c:pt idx="2">
                  <c:v>0.752</c:v>
                </c:pt>
                <c:pt idx="3">
                  <c:v>0.787</c:v>
                </c:pt>
                <c:pt idx="4">
                  <c:v>0.877</c:v>
                </c:pt>
                <c:pt idx="5">
                  <c:v>0.797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59356096"/>
        <c:axId val="99881554"/>
      </c:lineChart>
      <c:catAx>
        <c:axId val="593560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881554"/>
        <c:crosses val="autoZero"/>
        <c:auto val="1"/>
        <c:lblAlgn val="ctr"/>
        <c:lblOffset val="100"/>
        <c:noMultiLvlLbl val="0"/>
      </c:catAx>
      <c:valAx>
        <c:axId val="998815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Completion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3560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This Month — Habit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'📈 Monthly Dashboard'!H6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a0783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9a84c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e8c97a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b753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d4a843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f0d08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6"/>
            <c:spPr>
              <a:solidFill>
                <a:srgbClr val="1a1a1a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7"/>
            <c:spPr>
              <a:solidFill>
                <a:srgbClr val="40404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8"/>
            <c:spPr>
              <a:solidFill>
                <a:srgbClr val="70707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9"/>
            <c:spPr>
              <a:solidFill>
                <a:srgbClr val="a0802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0"/>
            <c:spPr>
              <a:solidFill>
                <a:srgbClr val="92c3d5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'📈 Monthly Dashboard'!$B$7:$B$17</c:f>
              <c:strCache>
                <c:ptCount val="11"/>
                <c:pt idx="0">
                  <c:v>Wake Up Early (6am)</c:v>
                </c:pt>
                <c:pt idx="1">
                  <c:v>Morning Meditation</c:v>
                </c:pt>
                <c:pt idx="2">
                  <c:v>Deep Work Block (90 min)</c:v>
                </c:pt>
                <c:pt idx="3">
                  <c:v>No Social Media Before 10am</c:v>
                </c:pt>
                <c:pt idx="4">
                  <c:v>Exercise / Move Body</c:v>
                </c:pt>
                <c:pt idx="5">
                  <c:v>Read 20 Pages</c:v>
                </c:pt>
                <c:pt idx="6">
                  <c:v>Healthy Meal / No Junk</c:v>
                </c:pt>
                <c:pt idx="7">
                  <c:v>Evening Shutdown Ritual</c:v>
                </c:pt>
                <c:pt idx="8">
                  <c:v>Journaling</c:v>
                </c:pt>
                <c:pt idx="9">
                  <c:v>Drink 8 Glasses of Water</c:v>
                </c:pt>
                <c:pt idx="10">
                  <c:v/>
                </c:pt>
              </c:strCache>
            </c:strRef>
          </c:cat>
          <c:val>
            <c:numRef>
              <c:f>'📈 Monthly Dashboard'!$H$7:$H$17</c:f>
              <c:numCache>
                <c:formatCode>General</c:formatCode>
                <c:ptCount val="11"/>
                <c:pt idx="0">
                  <c:v>24</c:v>
                </c:pt>
                <c:pt idx="1">
                  <c:v>23</c:v>
                </c:pt>
                <c:pt idx="2">
                  <c:v>27</c:v>
                </c:pt>
                <c:pt idx="3">
                  <c:v>22</c:v>
                </c:pt>
                <c:pt idx="4">
                  <c:v>25</c:v>
                </c:pt>
                <c:pt idx="5">
                  <c:v>24</c:v>
                </c:pt>
                <c:pt idx="6">
                  <c:v>26</c:v>
                </c:pt>
                <c:pt idx="7">
                  <c:v>25</c:v>
                </c:pt>
                <c:pt idx="8">
                  <c:v>23</c:v>
                </c:pt>
                <c:pt idx="9">
                  <c:v>28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Habit Score by Month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'🔥 Habit Score'!C2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rgbClr val="a0783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'🔥 Habit Score'!$B$3:$B$12</c:f>
              <c:strCache>
                <c:ptCount val="10"/>
                <c:pt idx="0">
                  <c:v>Wake Up Early (6am)</c:v>
                </c:pt>
                <c:pt idx="1">
                  <c:v>Morning Meditation</c:v>
                </c:pt>
                <c:pt idx="2">
                  <c:v>Deep Work Block (90 min)</c:v>
                </c:pt>
                <c:pt idx="3">
                  <c:v>No Social Media Before 10am</c:v>
                </c:pt>
                <c:pt idx="4">
                  <c:v>Exercise / Move Body</c:v>
                </c:pt>
                <c:pt idx="5">
                  <c:v>Read 20 Pages</c:v>
                </c:pt>
                <c:pt idx="6">
                  <c:v>Healthy Meal / No Junk</c:v>
                </c:pt>
                <c:pt idx="7">
                  <c:v>Evening Shutdown Ritual</c:v>
                </c:pt>
                <c:pt idx="8">
                  <c:v>Journaling</c:v>
                </c:pt>
                <c:pt idx="9">
                  <c:v>Drink 8 Glasses of Water</c:v>
                </c:pt>
              </c:strCache>
            </c:strRef>
          </c:cat>
          <c:val>
            <c:numRef>
              <c:f>'🔥 Habit Score'!$C$3:$C$12</c:f>
              <c:numCache>
                <c:formatCode>0%</c:formatCode>
                <c:ptCount val="10"/>
                <c:pt idx="0">
                  <c:v>0.58</c:v>
                </c:pt>
                <c:pt idx="1">
                  <c:v>0.48</c:v>
                </c:pt>
                <c:pt idx="2">
                  <c:v>0.65</c:v>
                </c:pt>
                <c:pt idx="3">
                  <c:v>0.39</c:v>
                </c:pt>
                <c:pt idx="4">
                  <c:v>0.71</c:v>
                </c:pt>
                <c:pt idx="5">
                  <c:v>0.52</c:v>
                </c:pt>
                <c:pt idx="6">
                  <c:v>0.58</c:v>
                </c:pt>
                <c:pt idx="7">
                  <c:v>0.65</c:v>
                </c:pt>
                <c:pt idx="8">
                  <c:v>0.45</c:v>
                </c:pt>
                <c:pt idx="9">
                  <c:v>0.81</c:v>
                </c:pt>
              </c:numCache>
            </c:numRef>
          </c:val>
        </c:ser>
        <c:ser>
          <c:idx val="1"/>
          <c:order val="1"/>
          <c:tx>
            <c:strRef>
              <c:f>'🔥 Habit Score'!D2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rgbClr val="c9a84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'🔥 Habit Score'!$B$3:$B$12</c:f>
              <c:strCache>
                <c:ptCount val="10"/>
                <c:pt idx="0">
                  <c:v>Wake Up Early (6am)</c:v>
                </c:pt>
                <c:pt idx="1">
                  <c:v>Morning Meditation</c:v>
                </c:pt>
                <c:pt idx="2">
                  <c:v>Deep Work Block (90 min)</c:v>
                </c:pt>
                <c:pt idx="3">
                  <c:v>No Social Media Before 10am</c:v>
                </c:pt>
                <c:pt idx="4">
                  <c:v>Exercise / Move Body</c:v>
                </c:pt>
                <c:pt idx="5">
                  <c:v>Read 20 Pages</c:v>
                </c:pt>
                <c:pt idx="6">
                  <c:v>Healthy Meal / No Junk</c:v>
                </c:pt>
                <c:pt idx="7">
                  <c:v>Evening Shutdown Ritual</c:v>
                </c:pt>
                <c:pt idx="8">
                  <c:v>Journaling</c:v>
                </c:pt>
                <c:pt idx="9">
                  <c:v>Drink 8 Glasses of Water</c:v>
                </c:pt>
              </c:strCache>
            </c:strRef>
          </c:cat>
          <c:val>
            <c:numRef>
              <c:f>'🔥 Habit Score'!$D$3:$D$12</c:f>
              <c:numCache>
                <c:formatCode>0%</c:formatCode>
                <c:ptCount val="10"/>
                <c:pt idx="0">
                  <c:v>0.71</c:v>
                </c:pt>
                <c:pt idx="1">
                  <c:v>0.58</c:v>
                </c:pt>
                <c:pt idx="2">
                  <c:v>0.77</c:v>
                </c:pt>
                <c:pt idx="3">
                  <c:v>0.52</c:v>
                </c:pt>
                <c:pt idx="4">
                  <c:v>0.81</c:v>
                </c:pt>
                <c:pt idx="5">
                  <c:v>0.65</c:v>
                </c:pt>
                <c:pt idx="6">
                  <c:v>0.68</c:v>
                </c:pt>
                <c:pt idx="7">
                  <c:v>0.71</c:v>
                </c:pt>
                <c:pt idx="8">
                  <c:v>0.55</c:v>
                </c:pt>
                <c:pt idx="9">
                  <c:v>0.87</c:v>
                </c:pt>
              </c:numCache>
            </c:numRef>
          </c:val>
        </c:ser>
        <c:ser>
          <c:idx val="2"/>
          <c:order val="2"/>
          <c:tx>
            <c:strRef>
              <c:f>'🔥 Habit Score'!E2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rgbClr val="e8c97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'🔥 Habit Score'!$B$3:$B$12</c:f>
              <c:strCache>
                <c:ptCount val="10"/>
                <c:pt idx="0">
                  <c:v>Wake Up Early (6am)</c:v>
                </c:pt>
                <c:pt idx="1">
                  <c:v>Morning Meditation</c:v>
                </c:pt>
                <c:pt idx="2">
                  <c:v>Deep Work Block (90 min)</c:v>
                </c:pt>
                <c:pt idx="3">
                  <c:v>No Social Media Before 10am</c:v>
                </c:pt>
                <c:pt idx="4">
                  <c:v>Exercise / Move Body</c:v>
                </c:pt>
                <c:pt idx="5">
                  <c:v>Read 20 Pages</c:v>
                </c:pt>
                <c:pt idx="6">
                  <c:v>Healthy Meal / No Junk</c:v>
                </c:pt>
                <c:pt idx="7">
                  <c:v>Evening Shutdown Ritual</c:v>
                </c:pt>
                <c:pt idx="8">
                  <c:v>Journaling</c:v>
                </c:pt>
                <c:pt idx="9">
                  <c:v>Drink 8 Glasses of Water</c:v>
                </c:pt>
              </c:strCache>
            </c:strRef>
          </c:cat>
          <c:val>
            <c:numRef>
              <c:f>'🔥 Habit Score'!$E$3:$E$12</c:f>
              <c:numCache>
                <c:formatCode>0%</c:formatCode>
                <c:ptCount val="10"/>
                <c:pt idx="0">
                  <c:v>0.81</c:v>
                </c:pt>
                <c:pt idx="1">
                  <c:v>0.65</c:v>
                </c:pt>
                <c:pt idx="2">
                  <c:v>0.84</c:v>
                </c:pt>
                <c:pt idx="3">
                  <c:v>0.61</c:v>
                </c:pt>
                <c:pt idx="4">
                  <c:v>0.87</c:v>
                </c:pt>
                <c:pt idx="5">
                  <c:v>0.71</c:v>
                </c:pt>
                <c:pt idx="6">
                  <c:v>0.74</c:v>
                </c:pt>
                <c:pt idx="7">
                  <c:v>0.77</c:v>
                </c:pt>
                <c:pt idx="8">
                  <c:v>0.61</c:v>
                </c:pt>
                <c:pt idx="9">
                  <c:v>0.9</c:v>
                </c:pt>
              </c:numCache>
            </c:numRef>
          </c:val>
        </c:ser>
        <c:ser>
          <c:idx val="3"/>
          <c:order val="3"/>
          <c:tx>
            <c:strRef>
              <c:f>'🔥 Habit Score'!F2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rgbClr val="8b753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'🔥 Habit Score'!$B$3:$B$12</c:f>
              <c:strCache>
                <c:ptCount val="10"/>
                <c:pt idx="0">
                  <c:v>Wake Up Early (6am)</c:v>
                </c:pt>
                <c:pt idx="1">
                  <c:v>Morning Meditation</c:v>
                </c:pt>
                <c:pt idx="2">
                  <c:v>Deep Work Block (90 min)</c:v>
                </c:pt>
                <c:pt idx="3">
                  <c:v>No Social Media Before 10am</c:v>
                </c:pt>
                <c:pt idx="4">
                  <c:v>Exercise / Move Body</c:v>
                </c:pt>
                <c:pt idx="5">
                  <c:v>Read 20 Pages</c:v>
                </c:pt>
                <c:pt idx="6">
                  <c:v>Healthy Meal / No Junk</c:v>
                </c:pt>
                <c:pt idx="7">
                  <c:v>Evening Shutdown Ritual</c:v>
                </c:pt>
                <c:pt idx="8">
                  <c:v>Journaling</c:v>
                </c:pt>
                <c:pt idx="9">
                  <c:v>Drink 8 Glasses of Water</c:v>
                </c:pt>
              </c:strCache>
            </c:strRef>
          </c:cat>
          <c:val>
            <c:numRef>
              <c:f>'🔥 Habit Score'!$F$3:$F$12</c:f>
              <c:numCache>
                <c:formatCode>0%</c:formatCode>
                <c:ptCount val="10"/>
                <c:pt idx="0">
                  <c:v>0.65</c:v>
                </c:pt>
                <c:pt idx="1">
                  <c:v>0.71</c:v>
                </c:pt>
                <c:pt idx="2">
                  <c:v>0.9</c:v>
                </c:pt>
                <c:pt idx="3">
                  <c:v>0.68</c:v>
                </c:pt>
                <c:pt idx="4">
                  <c:v>0.84</c:v>
                </c:pt>
                <c:pt idx="5">
                  <c:v>0.81</c:v>
                </c:pt>
                <c:pt idx="6">
                  <c:v>0.84</c:v>
                </c:pt>
                <c:pt idx="7">
                  <c:v>0.81</c:v>
                </c:pt>
                <c:pt idx="8">
                  <c:v>0.71</c:v>
                </c:pt>
                <c:pt idx="9">
                  <c:v>0.94</c:v>
                </c:pt>
              </c:numCache>
            </c:numRef>
          </c:val>
        </c:ser>
        <c:ser>
          <c:idx val="4"/>
          <c:order val="4"/>
          <c:tx>
            <c:strRef>
              <c:f>'🔥 Habit Score'!G2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rgbClr val="d4a84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'🔥 Habit Score'!$B$3:$B$12</c:f>
              <c:strCache>
                <c:ptCount val="10"/>
                <c:pt idx="0">
                  <c:v>Wake Up Early (6am)</c:v>
                </c:pt>
                <c:pt idx="1">
                  <c:v>Morning Meditation</c:v>
                </c:pt>
                <c:pt idx="2">
                  <c:v>Deep Work Block (90 min)</c:v>
                </c:pt>
                <c:pt idx="3">
                  <c:v>No Social Media Before 10am</c:v>
                </c:pt>
                <c:pt idx="4">
                  <c:v>Exercise / Move Body</c:v>
                </c:pt>
                <c:pt idx="5">
                  <c:v>Read 20 Pages</c:v>
                </c:pt>
                <c:pt idx="6">
                  <c:v>Healthy Meal / No Junk</c:v>
                </c:pt>
                <c:pt idx="7">
                  <c:v>Evening Shutdown Ritual</c:v>
                </c:pt>
                <c:pt idx="8">
                  <c:v>Journaling</c:v>
                </c:pt>
                <c:pt idx="9">
                  <c:v>Drink 8 Glasses of Water</c:v>
                </c:pt>
              </c:strCache>
            </c:strRef>
          </c:cat>
          <c:val>
            <c:numRef>
              <c:f>'🔥 Habit Score'!$G$3:$G$12</c:f>
              <c:numCache>
                <c:formatCode>0%</c:formatCode>
                <c:ptCount val="10"/>
                <c:pt idx="0">
                  <c:v>0.9</c:v>
                </c:pt>
                <c:pt idx="1">
                  <c:v>0.81</c:v>
                </c:pt>
                <c:pt idx="2">
                  <c:v>0.97</c:v>
                </c:pt>
                <c:pt idx="3">
                  <c:v>0.77</c:v>
                </c:pt>
                <c:pt idx="4">
                  <c:v>0.9</c:v>
                </c:pt>
                <c:pt idx="5">
                  <c:v>0.87</c:v>
                </c:pt>
                <c:pt idx="6">
                  <c:v>0.9</c:v>
                </c:pt>
                <c:pt idx="7">
                  <c:v>0.87</c:v>
                </c:pt>
                <c:pt idx="8">
                  <c:v>0.81</c:v>
                </c:pt>
                <c:pt idx="9">
                  <c:v>0.97</c:v>
                </c:pt>
              </c:numCache>
            </c:numRef>
          </c:val>
        </c:ser>
        <c:ser>
          <c:idx val="5"/>
          <c:order val="5"/>
          <c:tx>
            <c:strRef>
              <c:f>'🔥 Habit Score'!H2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rgbClr val="f0d08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'🔥 Habit Score'!$B$3:$B$12</c:f>
              <c:strCache>
                <c:ptCount val="10"/>
                <c:pt idx="0">
                  <c:v>Wake Up Early (6am)</c:v>
                </c:pt>
                <c:pt idx="1">
                  <c:v>Morning Meditation</c:v>
                </c:pt>
                <c:pt idx="2">
                  <c:v>Deep Work Block (90 min)</c:v>
                </c:pt>
                <c:pt idx="3">
                  <c:v>No Social Media Before 10am</c:v>
                </c:pt>
                <c:pt idx="4">
                  <c:v>Exercise / Move Body</c:v>
                </c:pt>
                <c:pt idx="5">
                  <c:v>Read 20 Pages</c:v>
                </c:pt>
                <c:pt idx="6">
                  <c:v>Healthy Meal / No Junk</c:v>
                </c:pt>
                <c:pt idx="7">
                  <c:v>Evening Shutdown Ritual</c:v>
                </c:pt>
                <c:pt idx="8">
                  <c:v>Journaling</c:v>
                </c:pt>
                <c:pt idx="9">
                  <c:v>Drink 8 Glasses of Water</c:v>
                </c:pt>
              </c:strCache>
            </c:strRef>
          </c:cat>
          <c:val>
            <c:numRef>
              <c:f>'🔥 Habit Score'!$H$3:$H$12</c:f>
              <c:numCache>
                <c:formatCode>0%</c:formatCode>
                <c:ptCount val="10"/>
                <c:pt idx="0">
                  <c:v>0.77</c:v>
                </c:pt>
                <c:pt idx="1">
                  <c:v>0.74</c:v>
                </c:pt>
                <c:pt idx="2">
                  <c:v>0.87</c:v>
                </c:pt>
                <c:pt idx="3">
                  <c:v>0.71</c:v>
                </c:pt>
                <c:pt idx="4">
                  <c:v>0.81</c:v>
                </c:pt>
                <c:pt idx="5">
                  <c:v>0.77</c:v>
                </c:pt>
                <c:pt idx="6">
                  <c:v>0.84</c:v>
                </c:pt>
                <c:pt idx="7">
                  <c:v>0.81</c:v>
                </c:pt>
                <c:pt idx="8">
                  <c:v>0.74</c:v>
                </c:pt>
                <c:pt idx="9">
                  <c:v>0.9</c:v>
                </c:pt>
              </c:numCache>
            </c:numRef>
          </c:val>
        </c:ser>
        <c:gapWidth val="150"/>
        <c:overlap val="0"/>
        <c:axId val="40998009"/>
        <c:axId val="96199954"/>
      </c:barChart>
      <c:catAx>
        <c:axId val="40998009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Habit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199954"/>
        <c:crosses val="autoZero"/>
        <c:auto val="1"/>
        <c:lblAlgn val="ctr"/>
        <c:lblOffset val="100"/>
        <c:noMultiLvlLbl val="0"/>
      </c:catAx>
      <c:valAx>
        <c:axId val="961999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Completion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9980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0</xdr:rowOff>
    </xdr:from>
    <xdr:to>
      <xdr:col>6</xdr:col>
      <xdr:colOff>981720</xdr:colOff>
      <xdr:row>40</xdr:row>
      <xdr:rowOff>128880</xdr:rowOff>
    </xdr:to>
    <xdr:graphicFrame>
      <xdr:nvGraphicFramePr>
        <xdr:cNvPr id="0" name="Chart 1"/>
        <xdr:cNvGraphicFramePr/>
      </xdr:nvGraphicFramePr>
      <xdr:xfrm>
        <a:off x="211320" y="491508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18</xdr:row>
      <xdr:rowOff>0</xdr:rowOff>
    </xdr:from>
    <xdr:to>
      <xdr:col>19</xdr:col>
      <xdr:colOff>1080</xdr:colOff>
      <xdr:row>36</xdr:row>
      <xdr:rowOff>170640</xdr:rowOff>
    </xdr:to>
    <xdr:graphicFrame>
      <xdr:nvGraphicFramePr>
        <xdr:cNvPr id="1" name="Chart 2"/>
        <xdr:cNvGraphicFramePr/>
      </xdr:nvGraphicFramePr>
      <xdr:xfrm>
        <a:off x="10643400" y="491508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36</xdr:row>
      <xdr:rowOff>0</xdr:rowOff>
    </xdr:from>
    <xdr:to>
      <xdr:col>5</xdr:col>
      <xdr:colOff>528480</xdr:colOff>
      <xdr:row>54</xdr:row>
      <xdr:rowOff>170640</xdr:rowOff>
    </xdr:to>
    <xdr:graphicFrame>
      <xdr:nvGraphicFramePr>
        <xdr:cNvPr id="2" name="Chart 3"/>
        <xdr:cNvGraphicFramePr/>
      </xdr:nvGraphicFramePr>
      <xdr:xfrm>
        <a:off x="211320" y="834408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0</xdr:rowOff>
    </xdr:from>
    <xdr:to>
      <xdr:col>9</xdr:col>
      <xdr:colOff>181440</xdr:colOff>
      <xdr:row>41</xdr:row>
      <xdr:rowOff>86760</xdr:rowOff>
    </xdr:to>
    <xdr:graphicFrame>
      <xdr:nvGraphicFramePr>
        <xdr:cNvPr id="3" name="Chart 1"/>
        <xdr:cNvGraphicFramePr/>
      </xdr:nvGraphicFramePr>
      <xdr:xfrm>
        <a:off x="211320" y="4172040"/>
        <a:ext cx="863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A1:T8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"/>
    <col collapsed="false" customWidth="true" hidden="false" outlineLevel="0" max="3" min="3" style="0" width="22"/>
    <col collapsed="false" customWidth="true" hidden="false" outlineLevel="0" max="5" min="4" style="0" width="38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5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49.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customFormat="false" ht="13.5" hidden="false" customHeight="true" outlineLevel="0" collapsed="false">
      <c r="A3" s="1"/>
      <c r="B3" s="3" t="s">
        <v>1</v>
      </c>
      <c r="C3" s="3"/>
      <c r="D3" s="3"/>
      <c r="E3" s="3"/>
      <c r="F3" s="3"/>
      <c r="G3" s="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customFormat="false" ht="37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customFormat="false" ht="13.5" hidden="false" customHeight="true" outlineLevel="0" collapsed="false">
      <c r="A5" s="1"/>
      <c r="B5" s="4" t="s">
        <v>2</v>
      </c>
      <c r="C5" s="4"/>
      <c r="D5" s="4"/>
      <c r="E5" s="4"/>
      <c r="F5" s="4"/>
      <c r="G5" s="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customFormat="false" ht="36" hidden="false" customHeight="true" outlineLevel="0" collapsed="false">
      <c r="A6" s="1"/>
      <c r="B6" s="5" t="s">
        <v>3</v>
      </c>
      <c r="C6" s="5"/>
      <c r="D6" s="5"/>
      <c r="E6" s="5"/>
      <c r="F6" s="5"/>
      <c r="G6" s="5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customFormat="false" ht="13.5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customFormat="false" ht="36" hidden="false" customHeight="true" outlineLevel="0" collapsed="false">
      <c r="A8" s="1"/>
      <c r="B8" s="6" t="s">
        <v>4</v>
      </c>
      <c r="C8" s="6"/>
      <c r="D8" s="7" t="s">
        <v>5</v>
      </c>
      <c r="E8" s="7"/>
      <c r="F8" s="7"/>
      <c r="G8" s="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customFormat="false" ht="13.5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customFormat="false" ht="36" hidden="false" customHeight="true" outlineLevel="0" collapsed="false">
      <c r="A10" s="1"/>
      <c r="B10" s="6" t="s">
        <v>6</v>
      </c>
      <c r="C10" s="6"/>
      <c r="D10" s="7" t="s">
        <v>5</v>
      </c>
      <c r="E10" s="7"/>
      <c r="F10" s="7"/>
      <c r="G10" s="7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customFormat="false" ht="13.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customFormat="false" ht="79.5" hidden="false" customHeight="true" outlineLevel="0" collapsed="false">
      <c r="A12" s="1"/>
      <c r="B12" s="6" t="s">
        <v>7</v>
      </c>
      <c r="C12" s="6"/>
      <c r="D12" s="7" t="s">
        <v>5</v>
      </c>
      <c r="E12" s="7"/>
      <c r="F12" s="7"/>
      <c r="G12" s="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customFormat="false" ht="13.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customFormat="false" ht="36" hidden="false" customHeight="true" outlineLevel="0" collapsed="false">
      <c r="A14" s="1"/>
      <c r="B14" s="4" t="s">
        <v>8</v>
      </c>
      <c r="C14" s="4"/>
      <c r="D14" s="4"/>
      <c r="E14" s="4"/>
      <c r="F14" s="4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customFormat="false" ht="13.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customFormat="false" ht="36" hidden="false" customHeight="true" outlineLevel="0" collapsed="false">
      <c r="A16" s="1"/>
      <c r="B16" s="8" t="s">
        <v>9</v>
      </c>
      <c r="C16" s="9" t="s">
        <v>10</v>
      </c>
      <c r="D16" s="9"/>
      <c r="E16" s="10" t="s">
        <v>11</v>
      </c>
      <c r="F16" s="10"/>
      <c r="G16" s="10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customFormat="false" ht="13.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customFormat="false" ht="36" hidden="false" customHeight="true" outlineLevel="0" collapsed="false">
      <c r="A18" s="1"/>
      <c r="B18" s="8" t="s">
        <v>12</v>
      </c>
      <c r="C18" s="9" t="s">
        <v>13</v>
      </c>
      <c r="D18" s="9"/>
      <c r="E18" s="10" t="s">
        <v>14</v>
      </c>
      <c r="F18" s="10"/>
      <c r="G18" s="10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customFormat="false" ht="13.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customFormat="false" ht="36" hidden="false" customHeight="true" outlineLevel="0" collapsed="false">
      <c r="A20" s="1"/>
      <c r="B20" s="8" t="s">
        <v>15</v>
      </c>
      <c r="C20" s="9" t="s">
        <v>16</v>
      </c>
      <c r="D20" s="9"/>
      <c r="E20" s="10" t="s">
        <v>17</v>
      </c>
      <c r="F20" s="10"/>
      <c r="G20" s="10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customFormat="false" ht="13.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customFormat="false" ht="79.5" hidden="false" customHeight="true" outlineLevel="0" collapsed="false">
      <c r="A22" s="1"/>
      <c r="B22" s="8" t="s">
        <v>18</v>
      </c>
      <c r="C22" s="9" t="s">
        <v>19</v>
      </c>
      <c r="D22" s="9"/>
      <c r="E22" s="10" t="s">
        <v>20</v>
      </c>
      <c r="F22" s="10"/>
      <c r="G22" s="10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customFormat="false" ht="13.5" hidden="false" customHeight="true" outlineLevel="0" collapsed="false">
      <c r="A23" s="1"/>
      <c r="B23" s="4" t="s">
        <v>21</v>
      </c>
      <c r="C23" s="4"/>
      <c r="D23" s="4"/>
      <c r="E23" s="4"/>
      <c r="F23" s="4"/>
      <c r="G23" s="4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customFormat="false" ht="49.5" hidden="false" customHeight="true" outlineLevel="0" collapsed="false">
      <c r="A24" s="1"/>
      <c r="B24" s="8" t="s">
        <v>22</v>
      </c>
      <c r="C24" s="8" t="s">
        <v>23</v>
      </c>
      <c r="D24" s="8" t="s">
        <v>24</v>
      </c>
      <c r="E24" s="8" t="s">
        <v>25</v>
      </c>
      <c r="F24" s="8" t="s">
        <v>26</v>
      </c>
      <c r="G24" s="8" t="s">
        <v>27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customFormat="false" ht="21.75" hidden="false" customHeight="true" outlineLevel="0" collapsed="false">
      <c r="A25" s="1"/>
      <c r="B25" s="11" t="n">
        <v>1</v>
      </c>
      <c r="C25" s="12" t="s">
        <v>28</v>
      </c>
      <c r="D25" s="13" t="s">
        <v>29</v>
      </c>
      <c r="E25" s="14" t="s">
        <v>30</v>
      </c>
      <c r="F25" s="15" t="s">
        <v>31</v>
      </c>
      <c r="G25" s="8" t="s">
        <v>32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customFormat="false" ht="21.75" hidden="false" customHeight="true" outlineLevel="0" collapsed="false">
      <c r="A26" s="1"/>
      <c r="B26" s="16" t="n">
        <v>2</v>
      </c>
      <c r="C26" s="17" t="s">
        <v>33</v>
      </c>
      <c r="D26" s="18" t="s">
        <v>34</v>
      </c>
      <c r="E26" s="19" t="s">
        <v>35</v>
      </c>
      <c r="F26" s="20" t="s">
        <v>36</v>
      </c>
      <c r="G26" s="8" t="s">
        <v>37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customFormat="false" ht="21.75" hidden="false" customHeight="true" outlineLevel="0" collapsed="false">
      <c r="A27" s="1"/>
      <c r="B27" s="11" t="n">
        <v>3</v>
      </c>
      <c r="C27" s="12" t="s">
        <v>38</v>
      </c>
      <c r="D27" s="13" t="s">
        <v>39</v>
      </c>
      <c r="E27" s="14" t="s">
        <v>40</v>
      </c>
      <c r="F27" s="15" t="s">
        <v>41</v>
      </c>
      <c r="G27" s="8" t="s">
        <v>42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customFormat="false" ht="21.75" hidden="false" customHeight="true" outlineLevel="0" collapsed="false">
      <c r="A28" s="1"/>
      <c r="B28" s="16" t="n">
        <v>4</v>
      </c>
      <c r="C28" s="17" t="s">
        <v>43</v>
      </c>
      <c r="D28" s="18" t="s">
        <v>44</v>
      </c>
      <c r="E28" s="19" t="s">
        <v>45</v>
      </c>
      <c r="F28" s="20" t="s">
        <v>46</v>
      </c>
      <c r="G28" s="8" t="s">
        <v>47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customFormat="false" ht="21.75" hidden="false" customHeight="true" outlineLevel="0" collapsed="false">
      <c r="A29" s="1"/>
      <c r="B29" s="11" t="n">
        <v>5</v>
      </c>
      <c r="C29" s="12" t="s">
        <v>48</v>
      </c>
      <c r="D29" s="13" t="s">
        <v>49</v>
      </c>
      <c r="E29" s="14" t="s">
        <v>50</v>
      </c>
      <c r="F29" s="15" t="s">
        <v>51</v>
      </c>
      <c r="G29" s="8" t="s">
        <v>32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customFormat="false" ht="21.75" hidden="false" customHeight="true" outlineLevel="0" collapsed="false">
      <c r="A30" s="1"/>
      <c r="B30" s="16" t="n">
        <v>6</v>
      </c>
      <c r="C30" s="17" t="s">
        <v>52</v>
      </c>
      <c r="D30" s="18" t="s">
        <v>53</v>
      </c>
      <c r="E30" s="19" t="s">
        <v>54</v>
      </c>
      <c r="F30" s="20" t="s">
        <v>55</v>
      </c>
      <c r="G30" s="8" t="s">
        <v>32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customFormat="false" ht="21.75" hidden="false" customHeight="true" outlineLevel="0" collapsed="false">
      <c r="A31" s="1"/>
      <c r="B31" s="11" t="n">
        <v>7</v>
      </c>
      <c r="C31" s="12" t="s">
        <v>56</v>
      </c>
      <c r="D31" s="13" t="s">
        <v>57</v>
      </c>
      <c r="E31" s="14" t="s">
        <v>58</v>
      </c>
      <c r="F31" s="15" t="s">
        <v>59</v>
      </c>
      <c r="G31" s="8" t="s">
        <v>42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customFormat="false" ht="21.75" hidden="false" customHeight="true" outlineLevel="0" collapsed="false">
      <c r="A32" s="1"/>
      <c r="B32" s="16" t="n">
        <v>8</v>
      </c>
      <c r="C32" s="17" t="s">
        <v>60</v>
      </c>
      <c r="D32" s="18" t="s">
        <v>61</v>
      </c>
      <c r="E32" s="19" t="s">
        <v>62</v>
      </c>
      <c r="F32" s="20" t="s">
        <v>63</v>
      </c>
      <c r="G32" s="8" t="s">
        <v>47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customFormat="false" ht="21.75" hidden="false" customHeight="true" outlineLevel="0" collapsed="false">
      <c r="A33" s="1"/>
      <c r="B33" s="11" t="n">
        <v>9</v>
      </c>
      <c r="C33" s="12" t="s">
        <v>64</v>
      </c>
      <c r="D33" s="13" t="s">
        <v>65</v>
      </c>
      <c r="E33" s="14" t="s">
        <v>66</v>
      </c>
      <c r="F33" s="15" t="s">
        <v>67</v>
      </c>
      <c r="G33" s="8" t="s">
        <v>37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customFormat="false" ht="21.75" hidden="false" customHeight="true" outlineLevel="0" collapsed="false">
      <c r="A34" s="1"/>
      <c r="B34" s="16" t="n">
        <v>10</v>
      </c>
      <c r="C34" s="17" t="s">
        <v>68</v>
      </c>
      <c r="D34" s="18" t="s">
        <v>69</v>
      </c>
      <c r="E34" s="19" t="s">
        <v>70</v>
      </c>
      <c r="F34" s="20" t="s">
        <v>71</v>
      </c>
      <c r="G34" s="8" t="s">
        <v>42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customFormat="false" ht="15" hidden="false" customHeight="true" outlineLevel="0" collapsed="false">
      <c r="A36" s="1"/>
      <c r="B36" s="21" t="s">
        <v>72</v>
      </c>
      <c r="C36" s="21"/>
      <c r="D36" s="21"/>
      <c r="E36" s="21"/>
      <c r="F36" s="21"/>
      <c r="G36" s="2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</sheetData>
  <mergeCells count="21">
    <mergeCell ref="B2:G2"/>
    <mergeCell ref="B3:G3"/>
    <mergeCell ref="B5:G5"/>
    <mergeCell ref="B6:G6"/>
    <mergeCell ref="B8:C8"/>
    <mergeCell ref="D8:G8"/>
    <mergeCell ref="B10:C10"/>
    <mergeCell ref="D10:G10"/>
    <mergeCell ref="B12:C12"/>
    <mergeCell ref="D12:G12"/>
    <mergeCell ref="B14:G14"/>
    <mergeCell ref="C16:D16"/>
    <mergeCell ref="E16:G16"/>
    <mergeCell ref="C18:D18"/>
    <mergeCell ref="E18:G18"/>
    <mergeCell ref="C20:D20"/>
    <mergeCell ref="E20:G20"/>
    <mergeCell ref="C22:D22"/>
    <mergeCell ref="E22:G22"/>
    <mergeCell ref="B23:G23"/>
    <mergeCell ref="B36:G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A1:AX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3" min="3" style="0" width="5.51"/>
    <col collapsed="false" customWidth="true" hidden="false" outlineLevel="0" max="34" min="34" style="0" width="10"/>
    <col collapsed="false" customWidth="true" hidden="false" outlineLevel="0" max="36" min="35" style="0" width="12"/>
  </cols>
  <sheetData>
    <row r="1" customFormat="false" ht="39.75" hidden="false" customHeight="true" outlineLevel="0" collapsed="false">
      <c r="A1" s="1"/>
      <c r="B1" s="22" t="s">
        <v>73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customFormat="false" ht="24" hidden="false" customHeight="true" outlineLevel="0" collapsed="false">
      <c r="A2" s="1"/>
      <c r="B2" s="23" t="s">
        <v>74</v>
      </c>
      <c r="C2" s="23"/>
      <c r="D2" s="23"/>
      <c r="E2" s="24" t="s">
        <v>75</v>
      </c>
      <c r="F2" s="24"/>
      <c r="G2" s="24"/>
      <c r="H2" s="23" t="s">
        <v>76</v>
      </c>
      <c r="I2" s="23"/>
      <c r="J2" s="25" t="s">
        <v>77</v>
      </c>
      <c r="K2" s="2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customFormat="false" ht="21.75" hidden="false" customHeight="true" outlineLevel="0" collapsed="false">
      <c r="A3" s="1"/>
      <c r="B3" s="8" t="s">
        <v>78</v>
      </c>
      <c r="C3" s="26" t="n">
        <v>1</v>
      </c>
      <c r="D3" s="27" t="n">
        <v>2</v>
      </c>
      <c r="E3" s="27" t="n">
        <v>3</v>
      </c>
      <c r="F3" s="27" t="n">
        <v>4</v>
      </c>
      <c r="G3" s="27" t="n">
        <v>5</v>
      </c>
      <c r="H3" s="27" t="n">
        <v>6</v>
      </c>
      <c r="I3" s="26" t="n">
        <v>7</v>
      </c>
      <c r="J3" s="26" t="n">
        <v>8</v>
      </c>
      <c r="K3" s="27" t="n">
        <v>9</v>
      </c>
      <c r="L3" s="27" t="n">
        <v>10</v>
      </c>
      <c r="M3" s="27" t="n">
        <v>11</v>
      </c>
      <c r="N3" s="27" t="n">
        <v>12</v>
      </c>
      <c r="O3" s="27" t="n">
        <v>13</v>
      </c>
      <c r="P3" s="26" t="n">
        <v>14</v>
      </c>
      <c r="Q3" s="26" t="n">
        <v>15</v>
      </c>
      <c r="R3" s="27" t="n">
        <v>16</v>
      </c>
      <c r="S3" s="27" t="n">
        <v>17</v>
      </c>
      <c r="T3" s="27" t="n">
        <v>18</v>
      </c>
      <c r="U3" s="27" t="n">
        <v>19</v>
      </c>
      <c r="V3" s="27" t="n">
        <v>20</v>
      </c>
      <c r="W3" s="26" t="n">
        <v>21</v>
      </c>
      <c r="X3" s="26" t="n">
        <v>22</v>
      </c>
      <c r="Y3" s="27" t="n">
        <v>23</v>
      </c>
      <c r="Z3" s="27" t="n">
        <v>24</v>
      </c>
      <c r="AA3" s="27" t="n">
        <v>25</v>
      </c>
      <c r="AB3" s="27" t="n">
        <v>26</v>
      </c>
      <c r="AC3" s="27" t="n">
        <v>27</v>
      </c>
      <c r="AD3" s="26" t="n">
        <v>28</v>
      </c>
      <c r="AE3" s="26" t="n">
        <v>29</v>
      </c>
      <c r="AF3" s="27" t="n">
        <v>30</v>
      </c>
      <c r="AG3" s="27" t="n">
        <v>31</v>
      </c>
      <c r="AH3" s="26" t="s">
        <v>79</v>
      </c>
      <c r="AI3" s="26" t="s">
        <v>80</v>
      </c>
      <c r="AJ3" s="26" t="s">
        <v>81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customFormat="false" ht="21.75" hidden="false" customHeight="true" outlineLevel="0" collapsed="false">
      <c r="A4" s="1"/>
      <c r="B4" s="28" t="str">
        <f aca="false">'🏆 Identity Setup'!C25</f>
        <v>Wake Up Early (6am)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11" t="n">
        <f aca="false">COUNTIF(C4:AG4,"✓")</f>
        <v>0</v>
      </c>
      <c r="AI4" s="30" t="n">
        <v>25</v>
      </c>
      <c r="AJ4" s="31" t="n">
        <f aca="false">IF(AI4&gt;0,AH4/AI4,0)</f>
        <v>0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customFormat="false" ht="21.75" hidden="false" customHeight="true" outlineLevel="0" collapsed="false">
      <c r="A5" s="1"/>
      <c r="B5" s="32" t="str">
        <f aca="false">'🏆 Identity Setup'!C26</f>
        <v>Morning Meditation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11" t="n">
        <f aca="false">COUNTIF(C5:AG5,"✓")</f>
        <v>0</v>
      </c>
      <c r="AI5" s="30" t="n">
        <v>25</v>
      </c>
      <c r="AJ5" s="31" t="n">
        <f aca="false">IF(AI5&gt;0,AH5/AI5,0)</f>
        <v>0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customFormat="false" ht="21.75" hidden="false" customHeight="true" outlineLevel="0" collapsed="false">
      <c r="A6" s="1"/>
      <c r="B6" s="28" t="str">
        <f aca="false">'🏆 Identity Setup'!C27</f>
        <v>Deep Work Block (90 min)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11" t="n">
        <f aca="false">COUNTIF(C6:AG6,"✓")</f>
        <v>0</v>
      </c>
      <c r="AI6" s="30" t="n">
        <v>25</v>
      </c>
      <c r="AJ6" s="31" t="n">
        <f aca="false">IF(AI6&gt;0,AH6/AI6,0)</f>
        <v>0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customFormat="false" ht="21.75" hidden="false" customHeight="true" outlineLevel="0" collapsed="false">
      <c r="A7" s="1"/>
      <c r="B7" s="32" t="str">
        <f aca="false">'🏆 Identity Setup'!C28</f>
        <v>No Social Media Before 10am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11" t="n">
        <f aca="false">COUNTIF(C7:AG7,"✓")</f>
        <v>0</v>
      </c>
      <c r="AI7" s="30" t="n">
        <v>25</v>
      </c>
      <c r="AJ7" s="31" t="n">
        <f aca="false">IF(AI7&gt;0,AH7/AI7,0)</f>
        <v>0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customFormat="false" ht="21.75" hidden="false" customHeight="true" outlineLevel="0" collapsed="false">
      <c r="A8" s="1"/>
      <c r="B8" s="28" t="str">
        <f aca="false">'🏆 Identity Setup'!C29</f>
        <v>Exercise / Move Body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11" t="n">
        <f aca="false">COUNTIF(C8:AG8,"✓")</f>
        <v>0</v>
      </c>
      <c r="AI8" s="30" t="n">
        <v>25</v>
      </c>
      <c r="AJ8" s="31" t="n">
        <f aca="false">IF(AI8&gt;0,AH8/AI8,0)</f>
        <v>0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customFormat="false" ht="21.75" hidden="false" customHeight="true" outlineLevel="0" collapsed="false">
      <c r="A9" s="1"/>
      <c r="B9" s="32" t="str">
        <f aca="false">'🏆 Identity Setup'!C30</f>
        <v>Read 20 Pages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11" t="n">
        <f aca="false">COUNTIF(C9:AG9,"✓")</f>
        <v>0</v>
      </c>
      <c r="AI9" s="30" t="n">
        <v>25</v>
      </c>
      <c r="AJ9" s="31" t="n">
        <f aca="false">IF(AI9&gt;0,AH9/AI9,0)</f>
        <v>0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customFormat="false" ht="21.75" hidden="false" customHeight="true" outlineLevel="0" collapsed="false">
      <c r="A10" s="1"/>
      <c r="B10" s="28" t="str">
        <f aca="false">'🏆 Identity Setup'!C31</f>
        <v>Healthy Meal / No Junk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11" t="n">
        <f aca="false">COUNTIF(C10:AG10,"✓")</f>
        <v>0</v>
      </c>
      <c r="AI10" s="30" t="n">
        <v>25</v>
      </c>
      <c r="AJ10" s="31" t="n">
        <f aca="false">IF(AI10&gt;0,AH10/AI10,0)</f>
        <v>0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customFormat="false" ht="21.75" hidden="false" customHeight="true" outlineLevel="0" collapsed="false">
      <c r="A11" s="1"/>
      <c r="B11" s="32" t="str">
        <f aca="false">'🏆 Identity Setup'!C32</f>
        <v>Evening Shutdown Ritual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11" t="n">
        <f aca="false">COUNTIF(C11:AG11,"✓")</f>
        <v>0</v>
      </c>
      <c r="AI11" s="30" t="n">
        <v>25</v>
      </c>
      <c r="AJ11" s="31" t="n">
        <f aca="false">IF(AI11&gt;0,AH11/AI11,0)</f>
        <v>0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customFormat="false" ht="21.75" hidden="false" customHeight="true" outlineLevel="0" collapsed="false">
      <c r="A12" s="1"/>
      <c r="B12" s="28" t="str">
        <f aca="false">'🏆 Identity Setup'!C33</f>
        <v>Journaling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11" t="n">
        <f aca="false">COUNTIF(C12:AG12,"✓")</f>
        <v>0</v>
      </c>
      <c r="AI12" s="30" t="n">
        <v>25</v>
      </c>
      <c r="AJ12" s="31" t="n">
        <f aca="false">IF(AI12&gt;0,AH12/AI12,0)</f>
        <v>0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customFormat="false" ht="21.75" hidden="false" customHeight="true" outlineLevel="0" collapsed="false">
      <c r="A13" s="1"/>
      <c r="B13" s="32" t="str">
        <f aca="false">'🏆 Identity Setup'!C34</f>
        <v>Drink 8 Glasses of Water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11" t="n">
        <f aca="false">COUNTIF(C13:AG13,"✓")</f>
        <v>0</v>
      </c>
      <c r="AI13" s="30" t="n">
        <v>25</v>
      </c>
      <c r="AJ13" s="31" t="n">
        <f aca="false">IF(AI13&gt;0,AH13/AI13,0)</f>
        <v>0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customFormat="false" ht="25.5" hidden="false" customHeight="true" outlineLevel="0" collapsed="false">
      <c r="A14" s="1"/>
      <c r="B14" s="34" t="s">
        <v>82</v>
      </c>
      <c r="C14" s="35" t="n">
        <f aca="false">COUNTIF(C4:C13,"✓")</f>
        <v>0</v>
      </c>
      <c r="D14" s="35" t="n">
        <f aca="false">COUNTIF(D4:D13,"✓")</f>
        <v>0</v>
      </c>
      <c r="E14" s="35" t="n">
        <f aca="false">COUNTIF(E4:E13,"✓")</f>
        <v>0</v>
      </c>
      <c r="F14" s="35" t="n">
        <f aca="false">COUNTIF(F4:F13,"✓")</f>
        <v>0</v>
      </c>
      <c r="G14" s="35" t="n">
        <f aca="false">COUNTIF(G4:G13,"✓")</f>
        <v>0</v>
      </c>
      <c r="H14" s="35" t="n">
        <f aca="false">COUNTIF(H4:H13,"✓")</f>
        <v>0</v>
      </c>
      <c r="I14" s="35" t="n">
        <f aca="false">COUNTIF(I4:I13,"✓")</f>
        <v>0</v>
      </c>
      <c r="J14" s="35" t="n">
        <f aca="false">COUNTIF(J4:J13,"✓")</f>
        <v>0</v>
      </c>
      <c r="K14" s="35" t="n">
        <f aca="false">COUNTIF(K4:K13,"✓")</f>
        <v>0</v>
      </c>
      <c r="L14" s="35" t="n">
        <f aca="false">COUNTIF(L4:L13,"✓")</f>
        <v>0</v>
      </c>
      <c r="M14" s="35" t="n">
        <f aca="false">COUNTIF(M4:M13,"✓")</f>
        <v>0</v>
      </c>
      <c r="N14" s="35" t="n">
        <f aca="false">COUNTIF(N4:N13,"✓")</f>
        <v>0</v>
      </c>
      <c r="O14" s="35" t="n">
        <f aca="false">COUNTIF(O4:O13,"✓")</f>
        <v>0</v>
      </c>
      <c r="P14" s="35" t="n">
        <f aca="false">COUNTIF(P4:P13,"✓")</f>
        <v>0</v>
      </c>
      <c r="Q14" s="35" t="n">
        <f aca="false">COUNTIF(Q4:Q13,"✓")</f>
        <v>0</v>
      </c>
      <c r="R14" s="35" t="n">
        <f aca="false">COUNTIF(R4:R13,"✓")</f>
        <v>0</v>
      </c>
      <c r="S14" s="35" t="n">
        <f aca="false">COUNTIF(S4:S13,"✓")</f>
        <v>0</v>
      </c>
      <c r="T14" s="35" t="n">
        <f aca="false">COUNTIF(T4:T13,"✓")</f>
        <v>0</v>
      </c>
      <c r="U14" s="35" t="n">
        <f aca="false">COUNTIF(U4:U13,"✓")</f>
        <v>0</v>
      </c>
      <c r="V14" s="35" t="n">
        <f aca="false">COUNTIF(V4:V13,"✓")</f>
        <v>0</v>
      </c>
      <c r="W14" s="35" t="n">
        <f aca="false">COUNTIF(W4:W13,"✓")</f>
        <v>0</v>
      </c>
      <c r="X14" s="35" t="n">
        <f aca="false">COUNTIF(X4:X13,"✓")</f>
        <v>0</v>
      </c>
      <c r="Y14" s="35" t="n">
        <f aca="false">COUNTIF(Y4:Y13,"✓")</f>
        <v>0</v>
      </c>
      <c r="Z14" s="35" t="n">
        <f aca="false">COUNTIF(Z4:Z13,"✓")</f>
        <v>0</v>
      </c>
      <c r="AA14" s="35" t="n">
        <f aca="false">COUNTIF(AA4:AA13,"✓")</f>
        <v>0</v>
      </c>
      <c r="AB14" s="35" t="n">
        <f aca="false">COUNTIF(AB4:AB13,"✓")</f>
        <v>0</v>
      </c>
      <c r="AC14" s="35" t="n">
        <f aca="false">COUNTIF(AC4:AC13,"✓")</f>
        <v>0</v>
      </c>
      <c r="AD14" s="35" t="n">
        <f aca="false">COUNTIF(AD4:AD13,"✓")</f>
        <v>0</v>
      </c>
      <c r="AE14" s="35" t="n">
        <f aca="false">COUNTIF(AE4:AE13,"✓")</f>
        <v>0</v>
      </c>
      <c r="AF14" s="35" t="n">
        <f aca="false">COUNTIF(AF4:AF13,"✓")</f>
        <v>0</v>
      </c>
      <c r="AG14" s="35" t="n">
        <f aca="false">COUNTIF(AG4:AG13,"✓")</f>
        <v>0</v>
      </c>
      <c r="AH14" s="34" t="n">
        <f aca="false">SUM(AH4:AH13)</f>
        <v>0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customFormat="false" ht="19.5" hidden="false" customHeight="true" outlineLevel="0" collapsed="false">
      <c r="A16" s="1"/>
      <c r="B16" s="36" t="s">
        <v>83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</sheetData>
  <mergeCells count="6">
    <mergeCell ref="B1:AJ1"/>
    <mergeCell ref="B2:D2"/>
    <mergeCell ref="E2:G2"/>
    <mergeCell ref="H2:I2"/>
    <mergeCell ref="J2:K2"/>
    <mergeCell ref="B16:AJ16"/>
  </mergeCells>
  <conditionalFormatting sqref="C4:AG4">
    <cfRule type="expression" priority="2" aboveAverage="0" equalAverage="0" bottom="0" percent="0" rank="0" text="" dxfId="0">
      <formula>C4="✓"</formula>
    </cfRule>
  </conditionalFormatting>
  <conditionalFormatting sqref="C5:AG5">
    <cfRule type="expression" priority="3" aboveAverage="0" equalAverage="0" bottom="0" percent="0" rank="0" text="" dxfId="0">
      <formula>C5="✓"</formula>
    </cfRule>
  </conditionalFormatting>
  <conditionalFormatting sqref="C6:AG6">
    <cfRule type="expression" priority="4" aboveAverage="0" equalAverage="0" bottom="0" percent="0" rank="0" text="" dxfId="0">
      <formula>C6="✓"</formula>
    </cfRule>
  </conditionalFormatting>
  <conditionalFormatting sqref="C7:AG7">
    <cfRule type="expression" priority="5" aboveAverage="0" equalAverage="0" bottom="0" percent="0" rank="0" text="" dxfId="0">
      <formula>C7="✓"</formula>
    </cfRule>
  </conditionalFormatting>
  <conditionalFormatting sqref="C8:AG8">
    <cfRule type="expression" priority="6" aboveAverage="0" equalAverage="0" bottom="0" percent="0" rank="0" text="" dxfId="0">
      <formula>C8="✓"</formula>
    </cfRule>
  </conditionalFormatting>
  <conditionalFormatting sqref="C9:AG9">
    <cfRule type="expression" priority="7" aboveAverage="0" equalAverage="0" bottom="0" percent="0" rank="0" text="" dxfId="0">
      <formula>C9="✓"</formula>
    </cfRule>
  </conditionalFormatting>
  <conditionalFormatting sqref="C10:AG10">
    <cfRule type="expression" priority="8" aboveAverage="0" equalAverage="0" bottom="0" percent="0" rank="0" text="" dxfId="0">
      <formula>C10="✓"</formula>
    </cfRule>
  </conditionalFormatting>
  <conditionalFormatting sqref="C11:AG11">
    <cfRule type="expression" priority="9" aboveAverage="0" equalAverage="0" bottom="0" percent="0" rank="0" text="" dxfId="0">
      <formula>C11="✓"</formula>
    </cfRule>
  </conditionalFormatting>
  <conditionalFormatting sqref="C12:AG12">
    <cfRule type="expression" priority="10" aboveAverage="0" equalAverage="0" bottom="0" percent="0" rank="0" text="" dxfId="0">
      <formula>C12="✓"</formula>
    </cfRule>
  </conditionalFormatting>
  <conditionalFormatting sqref="C13:AG13">
    <cfRule type="expression" priority="11" aboveAverage="0" equalAverage="0" bottom="0" percent="0" rank="0" text="" dxfId="0">
      <formula>C13="✓"</formula>
    </cfRule>
  </conditionalFormatting>
  <dataValidations count="1">
    <dataValidation allowBlank="false" errorStyle="stop" operator="between" showDropDown="false" showErrorMessage="false" showInputMessage="false" sqref="E2" type="list">
      <formula1>"January,February,March,April,May,June,July,August,September,October,November,December"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A1:P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9" min="3" style="0" width="16"/>
    <col collapsed="false" customWidth="true" hidden="false" outlineLevel="0" max="11" min="10" style="0" width="14"/>
    <col collapsed="false" customWidth="true" hidden="false" outlineLevel="0" max="12" min="12" style="0" width="4"/>
  </cols>
  <sheetData>
    <row r="1" customFormat="false" ht="39.75" hidden="false" customHeight="true" outlineLevel="0" collapsed="false">
      <c r="A1" s="1"/>
      <c r="B1" s="22" t="s">
        <v>84</v>
      </c>
      <c r="C1" s="22"/>
      <c r="D1" s="22"/>
      <c r="E1" s="22"/>
      <c r="F1" s="22"/>
      <c r="G1" s="22"/>
      <c r="H1" s="22"/>
      <c r="I1" s="22"/>
      <c r="J1" s="22"/>
      <c r="K1" s="22"/>
      <c r="L1" s="1"/>
      <c r="M1" s="1"/>
      <c r="N1" s="1"/>
      <c r="O1" s="1"/>
      <c r="P1" s="1"/>
    </row>
    <row r="2" customFormat="false" ht="21.75" hidden="false" customHeight="true" outlineLevel="0" collapsed="false">
      <c r="A2" s="1"/>
      <c r="B2" s="8" t="s">
        <v>78</v>
      </c>
      <c r="C2" s="8" t="s">
        <v>85</v>
      </c>
      <c r="D2" s="8" t="s">
        <v>86</v>
      </c>
      <c r="E2" s="8" t="s">
        <v>87</v>
      </c>
      <c r="F2" s="8" t="s">
        <v>88</v>
      </c>
      <c r="G2" s="8" t="s">
        <v>89</v>
      </c>
      <c r="H2" s="8" t="s">
        <v>90</v>
      </c>
      <c r="I2" s="8" t="s">
        <v>80</v>
      </c>
      <c r="J2" s="8" t="s">
        <v>91</v>
      </c>
      <c r="K2" s="8" t="s">
        <v>92</v>
      </c>
      <c r="L2" s="1"/>
      <c r="M2" s="1"/>
      <c r="N2" s="1"/>
      <c r="O2" s="1"/>
      <c r="P2" s="1"/>
    </row>
    <row r="3" customFormat="false" ht="21.75" hidden="false" customHeight="true" outlineLevel="0" collapsed="false">
      <c r="A3" s="1"/>
      <c r="B3" s="28" t="str">
        <f aca="false">'🏆 Identity Setup'!C25</f>
        <v>Wake Up Early (6am)</v>
      </c>
      <c r="C3" s="37" t="n">
        <v>0</v>
      </c>
      <c r="D3" s="37" t="n">
        <v>0</v>
      </c>
      <c r="E3" s="37" t="n">
        <v>0</v>
      </c>
      <c r="F3" s="37" t="n">
        <v>0</v>
      </c>
      <c r="G3" s="37" t="n">
        <v>0</v>
      </c>
      <c r="H3" s="11" t="n">
        <f aca="false">C3+D3+E3+F3+G3</f>
        <v>0</v>
      </c>
      <c r="I3" s="30" t="n">
        <v>24</v>
      </c>
      <c r="J3" s="31" t="n">
        <f aca="false">IF(I3&gt;0,H3/I3,0)</f>
        <v>0</v>
      </c>
      <c r="K3" s="11" t="str">
        <f aca="false">IF(J3&gt;=0.8,"🏆 ON TRACK",IF(J3&gt;=0.5,"⚡ BUILDING","🔴 NEEDS WORK"))</f>
        <v>🔴 NEEDS WORK</v>
      </c>
      <c r="L3" s="1"/>
      <c r="M3" s="1"/>
      <c r="N3" s="1"/>
      <c r="O3" s="1"/>
      <c r="P3" s="1"/>
    </row>
    <row r="4" customFormat="false" ht="21.75" hidden="false" customHeight="true" outlineLevel="0" collapsed="false">
      <c r="A4" s="1"/>
      <c r="B4" s="32" t="str">
        <f aca="false">'🏆 Identity Setup'!C26</f>
        <v>Morning Meditation</v>
      </c>
      <c r="C4" s="38" t="n">
        <v>0</v>
      </c>
      <c r="D4" s="38" t="n">
        <v>0</v>
      </c>
      <c r="E4" s="38" t="n">
        <v>0</v>
      </c>
      <c r="F4" s="38" t="n">
        <v>0</v>
      </c>
      <c r="G4" s="38" t="n">
        <v>0</v>
      </c>
      <c r="H4" s="11" t="n">
        <f aca="false">C4+D4+E4+F4+G4</f>
        <v>0</v>
      </c>
      <c r="I4" s="30" t="n">
        <v>24</v>
      </c>
      <c r="J4" s="31" t="n">
        <f aca="false">IF(I4&gt;0,H4/I4,0)</f>
        <v>0</v>
      </c>
      <c r="K4" s="16" t="str">
        <f aca="false">IF(J4&gt;=0.8,"🏆 ON TRACK",IF(J4&gt;=0.5,"⚡ BUILDING","🔴 NEEDS WORK"))</f>
        <v>🔴 NEEDS WORK</v>
      </c>
      <c r="L4" s="1"/>
      <c r="M4" s="1"/>
      <c r="N4" s="1"/>
      <c r="O4" s="1"/>
      <c r="P4" s="1"/>
    </row>
    <row r="5" customFormat="false" ht="21.75" hidden="false" customHeight="true" outlineLevel="0" collapsed="false">
      <c r="A5" s="1"/>
      <c r="B5" s="28" t="str">
        <f aca="false">'🏆 Identity Setup'!C27</f>
        <v>Deep Work Block (90 min)</v>
      </c>
      <c r="C5" s="37" t="n">
        <v>0</v>
      </c>
      <c r="D5" s="37" t="n">
        <v>0</v>
      </c>
      <c r="E5" s="37" t="n">
        <v>0</v>
      </c>
      <c r="F5" s="37" t="n">
        <v>0</v>
      </c>
      <c r="G5" s="37" t="n">
        <v>0</v>
      </c>
      <c r="H5" s="11" t="n">
        <f aca="false">C5+D5+E5+F5+G5</f>
        <v>0</v>
      </c>
      <c r="I5" s="30" t="n">
        <v>28</v>
      </c>
      <c r="J5" s="31" t="n">
        <f aca="false">IF(I5&gt;0,H5/I5,0)</f>
        <v>0</v>
      </c>
      <c r="K5" s="11" t="str">
        <f aca="false">IF(J5&gt;=0.8,"🏆 ON TRACK",IF(J5&gt;=0.5,"⚡ BUILDING","🔴 NEEDS WORK"))</f>
        <v>🔴 NEEDS WORK</v>
      </c>
      <c r="L5" s="1"/>
      <c r="M5" s="1"/>
      <c r="N5" s="1"/>
      <c r="O5" s="1"/>
      <c r="P5" s="1"/>
    </row>
    <row r="6" customFormat="false" ht="21.75" hidden="false" customHeight="true" outlineLevel="0" collapsed="false">
      <c r="A6" s="1"/>
      <c r="B6" s="32" t="str">
        <f aca="false">'🏆 Identity Setup'!C28</f>
        <v>No Social Media Before 10am</v>
      </c>
      <c r="C6" s="38" t="n">
        <v>0</v>
      </c>
      <c r="D6" s="38" t="n">
        <v>0</v>
      </c>
      <c r="E6" s="38" t="n">
        <v>0</v>
      </c>
      <c r="F6" s="38" t="n">
        <v>0</v>
      </c>
      <c r="G6" s="38" t="n">
        <v>0</v>
      </c>
      <c r="H6" s="11" t="n">
        <f aca="false">C6+D6+E6+F6+G6</f>
        <v>0</v>
      </c>
      <c r="I6" s="30" t="n">
        <v>24</v>
      </c>
      <c r="J6" s="31" t="n">
        <f aca="false">IF(I6&gt;0,H6/I6,0)</f>
        <v>0</v>
      </c>
      <c r="K6" s="16" t="str">
        <f aca="false">IF(J6&gt;=0.8,"🏆 ON TRACK",IF(J6&gt;=0.5,"⚡ BUILDING","🔴 NEEDS WORK"))</f>
        <v>🔴 NEEDS WORK</v>
      </c>
      <c r="L6" s="1"/>
      <c r="M6" s="1"/>
      <c r="N6" s="1"/>
      <c r="O6" s="1"/>
      <c r="P6" s="1"/>
    </row>
    <row r="7" customFormat="false" ht="21.75" hidden="false" customHeight="true" outlineLevel="0" collapsed="false">
      <c r="A7" s="1"/>
      <c r="B7" s="28" t="str">
        <f aca="false">'🏆 Identity Setup'!C29</f>
        <v>Exercise / Move Body</v>
      </c>
      <c r="C7" s="37" t="n">
        <v>0</v>
      </c>
      <c r="D7" s="37" t="n">
        <v>0</v>
      </c>
      <c r="E7" s="37" t="n">
        <v>0</v>
      </c>
      <c r="F7" s="37" t="n">
        <v>0</v>
      </c>
      <c r="G7" s="37" t="n">
        <v>0</v>
      </c>
      <c r="H7" s="11" t="n">
        <f aca="false">C7+D7+E7+F7+G7</f>
        <v>0</v>
      </c>
      <c r="I7" s="30" t="n">
        <v>28</v>
      </c>
      <c r="J7" s="31" t="n">
        <f aca="false">IF(I7&gt;0,H7/I7,0)</f>
        <v>0</v>
      </c>
      <c r="K7" s="11" t="str">
        <f aca="false">IF(J7&gt;=0.8,"🏆 ON TRACK",IF(J7&gt;=0.5,"⚡ BUILDING","🔴 NEEDS WORK"))</f>
        <v>🔴 NEEDS WORK</v>
      </c>
      <c r="L7" s="1"/>
      <c r="M7" s="1"/>
      <c r="N7" s="1"/>
      <c r="O7" s="1"/>
      <c r="P7" s="1"/>
    </row>
    <row r="8" customFormat="false" ht="21.75" hidden="false" customHeight="true" outlineLevel="0" collapsed="false">
      <c r="A8" s="1"/>
      <c r="B8" s="32" t="str">
        <f aca="false">'🏆 Identity Setup'!C30</f>
        <v>Read 20 Pages</v>
      </c>
      <c r="C8" s="38" t="n">
        <v>0</v>
      </c>
      <c r="D8" s="38" t="n">
        <v>0</v>
      </c>
      <c r="E8" s="38" t="n">
        <v>0</v>
      </c>
      <c r="F8" s="38" t="n">
        <v>0</v>
      </c>
      <c r="G8" s="38" t="n">
        <v>0</v>
      </c>
      <c r="H8" s="11" t="n">
        <f aca="false">C8+D8+E8+F8+G8</f>
        <v>0</v>
      </c>
      <c r="I8" s="30" t="n">
        <v>28</v>
      </c>
      <c r="J8" s="31" t="n">
        <f aca="false">IF(I8&gt;0,H8/I8,0)</f>
        <v>0</v>
      </c>
      <c r="K8" s="16" t="str">
        <f aca="false">IF(J8&gt;=0.8,"🏆 ON TRACK",IF(J8&gt;=0.5,"⚡ BUILDING","🔴 NEEDS WORK"))</f>
        <v>🔴 NEEDS WORK</v>
      </c>
      <c r="L8" s="1"/>
      <c r="M8" s="1"/>
      <c r="N8" s="1"/>
      <c r="O8" s="1"/>
      <c r="P8" s="1"/>
    </row>
    <row r="9" customFormat="false" ht="21.75" hidden="false" customHeight="true" outlineLevel="0" collapsed="false">
      <c r="A9" s="1"/>
      <c r="B9" s="28" t="str">
        <f aca="false">'🏆 Identity Setup'!C31</f>
        <v>Healthy Meal / No Junk</v>
      </c>
      <c r="C9" s="37" t="n">
        <v>0</v>
      </c>
      <c r="D9" s="37" t="n">
        <v>0</v>
      </c>
      <c r="E9" s="37" t="n">
        <v>0</v>
      </c>
      <c r="F9" s="37" t="n">
        <v>0</v>
      </c>
      <c r="G9" s="37" t="n">
        <v>0</v>
      </c>
      <c r="H9" s="11" t="n">
        <f aca="false">C9+D9+E9+F9+G9</f>
        <v>0</v>
      </c>
      <c r="I9" s="30" t="n">
        <v>24</v>
      </c>
      <c r="J9" s="31" t="n">
        <f aca="false">IF(I9&gt;0,H9/I9,0)</f>
        <v>0</v>
      </c>
      <c r="K9" s="11" t="str">
        <f aca="false">IF(J9&gt;=0.8,"🏆 ON TRACK",IF(J9&gt;=0.5,"⚡ BUILDING","🔴 NEEDS WORK"))</f>
        <v>🔴 NEEDS WORK</v>
      </c>
      <c r="L9" s="1"/>
      <c r="M9" s="1"/>
      <c r="N9" s="1"/>
      <c r="O9" s="1"/>
      <c r="P9" s="1"/>
    </row>
    <row r="10" customFormat="false" ht="21.75" hidden="false" customHeight="true" outlineLevel="0" collapsed="false">
      <c r="A10" s="1"/>
      <c r="B10" s="32" t="str">
        <f aca="false">'🏆 Identity Setup'!C32</f>
        <v>Evening Shutdown Ritual</v>
      </c>
      <c r="C10" s="38" t="n">
        <v>0</v>
      </c>
      <c r="D10" s="38" t="n">
        <v>0</v>
      </c>
      <c r="E10" s="38" t="n">
        <v>0</v>
      </c>
      <c r="F10" s="38" t="n">
        <v>0</v>
      </c>
      <c r="G10" s="38" t="n">
        <v>0</v>
      </c>
      <c r="H10" s="11" t="n">
        <f aca="false">C10+D10+E10+F10+G10</f>
        <v>0</v>
      </c>
      <c r="I10" s="30" t="n">
        <v>24</v>
      </c>
      <c r="J10" s="31" t="n">
        <f aca="false">IF(I10&gt;0,H10/I10,0)</f>
        <v>0</v>
      </c>
      <c r="K10" s="16" t="str">
        <f aca="false">IF(J10&gt;=0.8,"🏆 ON TRACK",IF(J10&gt;=0.5,"⚡ BUILDING","🔴 NEEDS WORK"))</f>
        <v>🔴 NEEDS WORK</v>
      </c>
      <c r="L10" s="1"/>
      <c r="M10" s="1"/>
      <c r="N10" s="1"/>
      <c r="O10" s="1"/>
      <c r="P10" s="1"/>
    </row>
    <row r="11" customFormat="false" ht="21.75" hidden="false" customHeight="true" outlineLevel="0" collapsed="false">
      <c r="A11" s="1"/>
      <c r="B11" s="28" t="str">
        <f aca="false">'🏆 Identity Setup'!C33</f>
        <v>Journaling</v>
      </c>
      <c r="C11" s="37" t="n">
        <v>0</v>
      </c>
      <c r="D11" s="37" t="n">
        <v>0</v>
      </c>
      <c r="E11" s="37" t="n">
        <v>0</v>
      </c>
      <c r="F11" s="37" t="n">
        <v>0</v>
      </c>
      <c r="G11" s="37" t="n">
        <v>0</v>
      </c>
      <c r="H11" s="11" t="n">
        <f aca="false">C11+D11+E11+F11+G11</f>
        <v>0</v>
      </c>
      <c r="I11" s="30" t="n">
        <v>24</v>
      </c>
      <c r="J11" s="31" t="n">
        <f aca="false">IF(I11&gt;0,H11/I11,0)</f>
        <v>0</v>
      </c>
      <c r="K11" s="11" t="str">
        <f aca="false">IF(J11&gt;=0.8,"🏆 ON TRACK",IF(J11&gt;=0.5,"⚡ BUILDING","🔴 NEEDS WORK"))</f>
        <v>🔴 NEEDS WORK</v>
      </c>
      <c r="L11" s="1"/>
      <c r="M11" s="1"/>
      <c r="N11" s="1"/>
      <c r="O11" s="1"/>
      <c r="P11" s="1"/>
    </row>
    <row r="12" customFormat="false" ht="21.75" hidden="false" customHeight="true" outlineLevel="0" collapsed="false">
      <c r="A12" s="1"/>
      <c r="B12" s="32" t="str">
        <f aca="false">'🏆 Identity Setup'!C34</f>
        <v>Drink 8 Glasses of Water</v>
      </c>
      <c r="C12" s="38" t="n">
        <v>0</v>
      </c>
      <c r="D12" s="38" t="n">
        <v>0</v>
      </c>
      <c r="E12" s="38" t="n">
        <v>0</v>
      </c>
      <c r="F12" s="38" t="n">
        <v>0</v>
      </c>
      <c r="G12" s="38" t="n">
        <v>0</v>
      </c>
      <c r="H12" s="11" t="n">
        <f aca="false">C12+D12+E12+F12+G12</f>
        <v>0</v>
      </c>
      <c r="I12" s="30" t="n">
        <v>28</v>
      </c>
      <c r="J12" s="31" t="n">
        <f aca="false">IF(I12&gt;0,H12/I12,0)</f>
        <v>0</v>
      </c>
      <c r="K12" s="16" t="str">
        <f aca="false">IF(J12&gt;=0.8,"🏆 ON TRACK",IF(J12&gt;=0.5,"⚡ BUILDING","🔴 NEEDS WORK"))</f>
        <v>🔴 NEEDS WORK</v>
      </c>
      <c r="L12" s="1"/>
      <c r="M12" s="1"/>
      <c r="N12" s="1"/>
      <c r="O12" s="1"/>
      <c r="P12" s="1"/>
    </row>
    <row r="13" customFormat="false" ht="25.5" hidden="false" customHeight="true" outlineLevel="0" collapsed="false">
      <c r="A13" s="1"/>
      <c r="B13" s="34" t="s">
        <v>93</v>
      </c>
      <c r="C13" s="34" t="n">
        <f aca="false">SUM(C3:C12)</f>
        <v>0</v>
      </c>
      <c r="D13" s="34" t="n">
        <f aca="false">SUM(D3:D12)</f>
        <v>0</v>
      </c>
      <c r="E13" s="34" t="n">
        <f aca="false">SUM(E3:E12)</f>
        <v>0</v>
      </c>
      <c r="F13" s="34" t="n">
        <f aca="false">SUM(F3:F12)</f>
        <v>0</v>
      </c>
      <c r="G13" s="34" t="n">
        <f aca="false">SUM(G3:G12)</f>
        <v>0</v>
      </c>
      <c r="H13" s="34" t="n">
        <f aca="false">SUM(H3:H12)</f>
        <v>0</v>
      </c>
      <c r="I13" s="1"/>
      <c r="J13" s="1"/>
      <c r="K13" s="1"/>
      <c r="L13" s="1"/>
      <c r="M13" s="1"/>
      <c r="N13" s="1"/>
      <c r="O13" s="1"/>
      <c r="P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customFormat="false" ht="24" hidden="false" customHeight="true" outlineLevel="0" collapsed="false">
      <c r="A15" s="1"/>
      <c r="B15" s="4" t="s">
        <v>94</v>
      </c>
      <c r="C15" s="4"/>
      <c r="D15" s="4"/>
      <c r="E15" s="4"/>
      <c r="F15" s="4"/>
      <c r="G15" s="4"/>
      <c r="H15" s="4"/>
      <c r="I15" s="4"/>
      <c r="J15" s="4"/>
      <c r="K15" s="4"/>
      <c r="L15" s="1"/>
      <c r="M15" s="1"/>
      <c r="N15" s="1"/>
      <c r="O15" s="1"/>
      <c r="P15" s="1"/>
    </row>
    <row r="16" customFormat="false" ht="19.5" hidden="false" customHeight="true" outlineLevel="0" collapsed="false">
      <c r="A16" s="1"/>
      <c r="B16" s="39" t="s">
        <v>95</v>
      </c>
      <c r="C16" s="39"/>
      <c r="D16" s="39"/>
      <c r="E16" s="39"/>
      <c r="F16" s="39"/>
      <c r="G16" s="39"/>
      <c r="H16" s="39"/>
      <c r="I16" s="39"/>
      <c r="J16" s="39"/>
      <c r="K16" s="39"/>
      <c r="L16" s="1"/>
      <c r="M16" s="1"/>
      <c r="N16" s="1"/>
      <c r="O16" s="1"/>
      <c r="P16" s="1"/>
    </row>
    <row r="17" customFormat="false" ht="27.75" hidden="false" customHeight="true" outlineLevel="0" collapsed="false">
      <c r="A17" s="1"/>
      <c r="B17" s="40" t="s">
        <v>96</v>
      </c>
      <c r="C17" s="40"/>
      <c r="D17" s="40"/>
      <c r="E17" s="40"/>
      <c r="F17" s="40"/>
      <c r="G17" s="40"/>
      <c r="H17" s="40"/>
      <c r="I17" s="40"/>
      <c r="J17" s="40"/>
      <c r="K17" s="40"/>
      <c r="L17" s="1"/>
      <c r="M17" s="1"/>
      <c r="N17" s="1"/>
      <c r="O17" s="1"/>
      <c r="P17" s="1"/>
    </row>
    <row r="18" customFormat="false" ht="19.5" hidden="false" customHeight="true" outlineLevel="0" collapsed="false">
      <c r="A18" s="1"/>
      <c r="B18" s="39" t="s">
        <v>97</v>
      </c>
      <c r="C18" s="39"/>
      <c r="D18" s="39"/>
      <c r="E18" s="39"/>
      <c r="F18" s="39"/>
      <c r="G18" s="39"/>
      <c r="H18" s="39"/>
      <c r="I18" s="39"/>
      <c r="J18" s="39"/>
      <c r="K18" s="39"/>
      <c r="L18" s="1"/>
      <c r="M18" s="1"/>
      <c r="N18" s="1"/>
      <c r="O18" s="1"/>
      <c r="P18" s="1"/>
    </row>
    <row r="19" customFormat="false" ht="27.75" hidden="false" customHeight="true" outlineLevel="0" collapsed="false">
      <c r="A19" s="1"/>
      <c r="B19" s="40" t="s">
        <v>96</v>
      </c>
      <c r="C19" s="40"/>
      <c r="D19" s="40"/>
      <c r="E19" s="40"/>
      <c r="F19" s="40"/>
      <c r="G19" s="40"/>
      <c r="H19" s="40"/>
      <c r="I19" s="40"/>
      <c r="J19" s="40"/>
      <c r="K19" s="40"/>
      <c r="L19" s="1"/>
      <c r="M19" s="1"/>
      <c r="N19" s="1"/>
      <c r="O19" s="1"/>
      <c r="P19" s="1"/>
    </row>
    <row r="20" customFormat="false" ht="19.5" hidden="false" customHeight="true" outlineLevel="0" collapsed="false">
      <c r="A20" s="1"/>
      <c r="B20" s="39" t="s">
        <v>98</v>
      </c>
      <c r="C20" s="39"/>
      <c r="D20" s="39"/>
      <c r="E20" s="39"/>
      <c r="F20" s="39"/>
      <c r="G20" s="39"/>
      <c r="H20" s="39"/>
      <c r="I20" s="39"/>
      <c r="J20" s="39"/>
      <c r="K20" s="39"/>
      <c r="L20" s="1"/>
      <c r="M20" s="1"/>
      <c r="N20" s="1"/>
      <c r="O20" s="1"/>
      <c r="P20" s="1"/>
    </row>
    <row r="21" customFormat="false" ht="27.75" hidden="false" customHeight="true" outlineLevel="0" collapsed="false">
      <c r="A21" s="1"/>
      <c r="B21" s="40" t="s">
        <v>96</v>
      </c>
      <c r="C21" s="40"/>
      <c r="D21" s="40"/>
      <c r="E21" s="40"/>
      <c r="F21" s="40"/>
      <c r="G21" s="40"/>
      <c r="H21" s="40"/>
      <c r="I21" s="40"/>
      <c r="J21" s="40"/>
      <c r="K21" s="40"/>
      <c r="L21" s="1"/>
      <c r="M21" s="1"/>
      <c r="N21" s="1"/>
      <c r="O21" s="1"/>
      <c r="P21" s="1"/>
    </row>
    <row r="22" customFormat="false" ht="19.5" hidden="false" customHeight="true" outlineLevel="0" collapsed="false">
      <c r="A22" s="1"/>
      <c r="B22" s="39" t="s">
        <v>99</v>
      </c>
      <c r="C22" s="39"/>
      <c r="D22" s="39"/>
      <c r="E22" s="39"/>
      <c r="F22" s="39"/>
      <c r="G22" s="39"/>
      <c r="H22" s="39"/>
      <c r="I22" s="39"/>
      <c r="J22" s="39"/>
      <c r="K22" s="39"/>
      <c r="L22" s="1"/>
      <c r="M22" s="1"/>
      <c r="N22" s="1"/>
      <c r="O22" s="1"/>
      <c r="P22" s="1"/>
    </row>
    <row r="23" customFormat="false" ht="27.75" hidden="false" customHeight="true" outlineLevel="0" collapsed="false">
      <c r="A23" s="1"/>
      <c r="B23" s="40" t="s">
        <v>96</v>
      </c>
      <c r="C23" s="40"/>
      <c r="D23" s="40"/>
      <c r="E23" s="40"/>
      <c r="F23" s="40"/>
      <c r="G23" s="40"/>
      <c r="H23" s="40"/>
      <c r="I23" s="40"/>
      <c r="J23" s="40"/>
      <c r="K23" s="40"/>
      <c r="L23" s="1"/>
      <c r="M23" s="1"/>
      <c r="N23" s="1"/>
      <c r="O23" s="1"/>
      <c r="P23" s="1"/>
    </row>
    <row r="24" customFormat="false" ht="19.5" hidden="false" customHeight="true" outlineLevel="0" collapsed="false">
      <c r="A24" s="1"/>
      <c r="B24" s="39" t="s">
        <v>100</v>
      </c>
      <c r="C24" s="39"/>
      <c r="D24" s="39"/>
      <c r="E24" s="39"/>
      <c r="F24" s="39"/>
      <c r="G24" s="39"/>
      <c r="H24" s="39"/>
      <c r="I24" s="39"/>
      <c r="J24" s="39"/>
      <c r="K24" s="39"/>
      <c r="L24" s="1"/>
      <c r="M24" s="1"/>
      <c r="N24" s="1"/>
      <c r="O24" s="1"/>
      <c r="P24" s="1"/>
    </row>
    <row r="25" customFormat="false" ht="27.75" hidden="false" customHeight="true" outlineLevel="0" collapsed="false">
      <c r="A25" s="1"/>
      <c r="B25" s="40" t="s">
        <v>96</v>
      </c>
      <c r="C25" s="40"/>
      <c r="D25" s="40"/>
      <c r="E25" s="40"/>
      <c r="F25" s="40"/>
      <c r="G25" s="40"/>
      <c r="H25" s="40"/>
      <c r="I25" s="40"/>
      <c r="J25" s="40"/>
      <c r="K25" s="40"/>
      <c r="L25" s="1"/>
      <c r="M25" s="1"/>
      <c r="N25" s="1"/>
      <c r="O25" s="1"/>
      <c r="P25" s="1"/>
    </row>
    <row r="26" customFormat="false" ht="19.5" hidden="false" customHeight="true" outlineLevel="0" collapsed="false">
      <c r="A26" s="1"/>
      <c r="B26" s="39" t="s">
        <v>101</v>
      </c>
      <c r="C26" s="39"/>
      <c r="D26" s="39"/>
      <c r="E26" s="39"/>
      <c r="F26" s="39"/>
      <c r="G26" s="39"/>
      <c r="H26" s="39"/>
      <c r="I26" s="39"/>
      <c r="J26" s="39"/>
      <c r="K26" s="39"/>
      <c r="L26" s="1"/>
      <c r="M26" s="1"/>
      <c r="N26" s="1"/>
      <c r="O26" s="1"/>
      <c r="P26" s="1"/>
    </row>
    <row r="27" customFormat="false" ht="27.75" hidden="false" customHeight="true" outlineLevel="0" collapsed="false">
      <c r="A27" s="1"/>
      <c r="B27" s="40" t="s">
        <v>96</v>
      </c>
      <c r="C27" s="40"/>
      <c r="D27" s="40"/>
      <c r="E27" s="40"/>
      <c r="F27" s="40"/>
      <c r="G27" s="40"/>
      <c r="H27" s="40"/>
      <c r="I27" s="40"/>
      <c r="J27" s="40"/>
      <c r="K27" s="40"/>
      <c r="L27" s="1"/>
      <c r="M27" s="1"/>
      <c r="N27" s="1"/>
      <c r="O27" s="1"/>
      <c r="P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</sheetData>
  <mergeCells count="14">
    <mergeCell ref="B1:K1"/>
    <mergeCell ref="B15:K15"/>
    <mergeCell ref="B16:K16"/>
    <mergeCell ref="B17:K17"/>
    <mergeCell ref="B18:K18"/>
    <mergeCell ref="B19:K19"/>
    <mergeCell ref="B20:K20"/>
    <mergeCell ref="B21:K21"/>
    <mergeCell ref="B22:K22"/>
    <mergeCell ref="B23:K23"/>
    <mergeCell ref="B24:K24"/>
    <mergeCell ref="B25:K25"/>
    <mergeCell ref="B26:K26"/>
    <mergeCell ref="B27:K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A1:T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14" min="3" style="0" width="14"/>
    <col collapsed="false" customWidth="true" hidden="false" outlineLevel="0" max="15" min="15" style="0" width="5"/>
  </cols>
  <sheetData>
    <row r="1" customFormat="false" ht="39.75" hidden="false" customHeight="true" outlineLevel="0" collapsed="false">
      <c r="A1" s="1"/>
      <c r="B1" s="22" t="s">
        <v>102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1"/>
      <c r="P1" s="1"/>
      <c r="Q1" s="1"/>
      <c r="R1" s="1"/>
      <c r="S1" s="1"/>
      <c r="T1" s="1"/>
    </row>
    <row r="2" customFormat="false" ht="30" hidden="false" customHeight="true" outlineLevel="0" collapsed="false">
      <c r="A2" s="1"/>
      <c r="B2" s="41" t="s">
        <v>103</v>
      </c>
      <c r="C2" s="41"/>
      <c r="D2" s="41"/>
      <c r="E2" s="41" t="s">
        <v>104</v>
      </c>
      <c r="F2" s="41"/>
      <c r="G2" s="41"/>
      <c r="H2" s="41" t="s">
        <v>105</v>
      </c>
      <c r="I2" s="41"/>
      <c r="J2" s="41"/>
      <c r="K2" s="41" t="s">
        <v>106</v>
      </c>
      <c r="L2" s="41"/>
      <c r="M2" s="41"/>
      <c r="N2" s="1"/>
      <c r="O2" s="1"/>
      <c r="P2" s="1"/>
      <c r="Q2" s="1"/>
      <c r="R2" s="1"/>
      <c r="S2" s="1"/>
      <c r="T2" s="1"/>
    </row>
    <row r="3" customFormat="false" ht="36" hidden="false" customHeight="true" outlineLevel="0" collapsed="false">
      <c r="A3" s="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1"/>
      <c r="O3" s="1"/>
      <c r="P3" s="1"/>
      <c r="Q3" s="1"/>
      <c r="R3" s="1"/>
      <c r="S3" s="1"/>
      <c r="T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customFormat="false" ht="21.75" hidden="false" customHeight="true" outlineLevel="0" collapsed="false">
      <c r="A5" s="1"/>
      <c r="B5" s="42" t="s">
        <v>107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1"/>
      <c r="P5" s="1"/>
      <c r="Q5" s="1"/>
      <c r="R5" s="1"/>
      <c r="S5" s="1"/>
      <c r="T5" s="1"/>
    </row>
    <row r="6" customFormat="false" ht="19.5" hidden="false" customHeight="true" outlineLevel="0" collapsed="false">
      <c r="A6" s="1"/>
      <c r="B6" s="8" t="s">
        <v>78</v>
      </c>
      <c r="C6" s="8" t="s">
        <v>108</v>
      </c>
      <c r="D6" s="8" t="s">
        <v>109</v>
      </c>
      <c r="E6" s="8" t="s">
        <v>110</v>
      </c>
      <c r="F6" s="8" t="s">
        <v>111</v>
      </c>
      <c r="G6" s="8" t="s">
        <v>112</v>
      </c>
      <c r="H6" s="8" t="s">
        <v>113</v>
      </c>
      <c r="I6" s="8" t="s">
        <v>114</v>
      </c>
      <c r="J6" s="8" t="s">
        <v>115</v>
      </c>
      <c r="K6" s="8" t="s">
        <v>116</v>
      </c>
      <c r="L6" s="8" t="s">
        <v>117</v>
      </c>
      <c r="M6" s="8" t="s">
        <v>118</v>
      </c>
      <c r="N6" s="8" t="s">
        <v>119</v>
      </c>
      <c r="O6" s="1"/>
      <c r="P6" s="1" t="s">
        <v>120</v>
      </c>
      <c r="Q6" s="1" t="s">
        <v>121</v>
      </c>
      <c r="R6" s="1"/>
      <c r="S6" s="1"/>
      <c r="T6" s="1"/>
    </row>
    <row r="7" customFormat="false" ht="19.5" hidden="false" customHeight="true" outlineLevel="0" collapsed="false">
      <c r="A7" s="1"/>
      <c r="B7" s="28" t="str">
        <f aca="false">'🏆 Identity Setup'!C25</f>
        <v>Wake Up Early (6am)</v>
      </c>
      <c r="C7" s="43" t="n">
        <v>18</v>
      </c>
      <c r="D7" s="43" t="n">
        <v>22</v>
      </c>
      <c r="E7" s="43" t="n">
        <v>25</v>
      </c>
      <c r="F7" s="43" t="n">
        <v>20</v>
      </c>
      <c r="G7" s="43" t="n">
        <v>28</v>
      </c>
      <c r="H7" s="43" t="n">
        <v>24</v>
      </c>
      <c r="I7" s="44" t="n">
        <v>0</v>
      </c>
      <c r="J7" s="44" t="n">
        <v>0</v>
      </c>
      <c r="K7" s="44" t="n">
        <v>0</v>
      </c>
      <c r="L7" s="44" t="n">
        <v>0</v>
      </c>
      <c r="M7" s="44" t="n">
        <v>0</v>
      </c>
      <c r="N7" s="44" t="n">
        <v>0</v>
      </c>
      <c r="O7" s="1"/>
      <c r="P7" s="1" t="s">
        <v>108</v>
      </c>
      <c r="Q7" s="45" t="n">
        <v>0.581</v>
      </c>
      <c r="R7" s="1"/>
      <c r="S7" s="1"/>
      <c r="T7" s="1"/>
    </row>
    <row r="8" customFormat="false" ht="19.5" hidden="false" customHeight="true" outlineLevel="0" collapsed="false">
      <c r="A8" s="1"/>
      <c r="B8" s="32" t="str">
        <f aca="false">'🏆 Identity Setup'!C26</f>
        <v>Morning Meditation</v>
      </c>
      <c r="C8" s="46" t="n">
        <v>15</v>
      </c>
      <c r="D8" s="46" t="n">
        <v>18</v>
      </c>
      <c r="E8" s="46" t="n">
        <v>20</v>
      </c>
      <c r="F8" s="46" t="n">
        <v>22</v>
      </c>
      <c r="G8" s="46" t="n">
        <v>25</v>
      </c>
      <c r="H8" s="46" t="n">
        <v>23</v>
      </c>
      <c r="I8" s="47" t="n">
        <v>0</v>
      </c>
      <c r="J8" s="47" t="n">
        <v>0</v>
      </c>
      <c r="K8" s="47" t="n">
        <v>0</v>
      </c>
      <c r="L8" s="47" t="n">
        <v>0</v>
      </c>
      <c r="M8" s="47" t="n">
        <v>0</v>
      </c>
      <c r="N8" s="47" t="n">
        <v>0</v>
      </c>
      <c r="O8" s="1"/>
      <c r="P8" s="1" t="s">
        <v>109</v>
      </c>
      <c r="Q8" s="45" t="n">
        <v>0.684</v>
      </c>
      <c r="R8" s="1"/>
      <c r="S8" s="1"/>
      <c r="T8" s="1"/>
    </row>
    <row r="9" customFormat="false" ht="19.5" hidden="false" customHeight="true" outlineLevel="0" collapsed="false">
      <c r="A9" s="1"/>
      <c r="B9" s="28" t="str">
        <f aca="false">'🏆 Identity Setup'!C27</f>
        <v>Deep Work Block (90 min)</v>
      </c>
      <c r="C9" s="43" t="n">
        <v>20</v>
      </c>
      <c r="D9" s="43" t="n">
        <v>24</v>
      </c>
      <c r="E9" s="43" t="n">
        <v>26</v>
      </c>
      <c r="F9" s="43" t="n">
        <v>28</v>
      </c>
      <c r="G9" s="43" t="n">
        <v>30</v>
      </c>
      <c r="H9" s="43" t="n">
        <v>27</v>
      </c>
      <c r="I9" s="44" t="n">
        <v>0</v>
      </c>
      <c r="J9" s="44" t="n">
        <v>0</v>
      </c>
      <c r="K9" s="44" t="n">
        <v>0</v>
      </c>
      <c r="L9" s="44" t="n">
        <v>0</v>
      </c>
      <c r="M9" s="44" t="n">
        <v>0</v>
      </c>
      <c r="N9" s="44" t="n">
        <v>0</v>
      </c>
      <c r="O9" s="1"/>
      <c r="P9" s="1" t="s">
        <v>110</v>
      </c>
      <c r="Q9" s="45" t="n">
        <v>0.752</v>
      </c>
      <c r="R9" s="1"/>
      <c r="S9" s="1"/>
      <c r="T9" s="1"/>
    </row>
    <row r="10" customFormat="false" ht="19.5" hidden="false" customHeight="true" outlineLevel="0" collapsed="false">
      <c r="A10" s="1"/>
      <c r="B10" s="32" t="str">
        <f aca="false">'🏆 Identity Setup'!C28</f>
        <v>No Social Media Before 10am</v>
      </c>
      <c r="C10" s="46" t="n">
        <v>12</v>
      </c>
      <c r="D10" s="46" t="n">
        <v>16</v>
      </c>
      <c r="E10" s="46" t="n">
        <v>19</v>
      </c>
      <c r="F10" s="46" t="n">
        <v>21</v>
      </c>
      <c r="G10" s="46" t="n">
        <v>24</v>
      </c>
      <c r="H10" s="46" t="n">
        <v>22</v>
      </c>
      <c r="I10" s="47" t="n">
        <v>0</v>
      </c>
      <c r="J10" s="47" t="n">
        <v>0</v>
      </c>
      <c r="K10" s="47" t="n">
        <v>0</v>
      </c>
      <c r="L10" s="47" t="n">
        <v>0</v>
      </c>
      <c r="M10" s="47" t="n">
        <v>0</v>
      </c>
      <c r="N10" s="47" t="n">
        <v>0</v>
      </c>
      <c r="O10" s="1"/>
      <c r="P10" s="1" t="s">
        <v>111</v>
      </c>
      <c r="Q10" s="45" t="n">
        <v>0.787</v>
      </c>
      <c r="R10" s="1"/>
      <c r="S10" s="1"/>
      <c r="T10" s="1"/>
    </row>
    <row r="11" customFormat="false" ht="19.5" hidden="false" customHeight="true" outlineLevel="0" collapsed="false">
      <c r="A11" s="1"/>
      <c r="B11" s="28" t="str">
        <f aca="false">'🏆 Identity Setup'!C29</f>
        <v>Exercise / Move Body</v>
      </c>
      <c r="C11" s="43" t="n">
        <v>22</v>
      </c>
      <c r="D11" s="43" t="n">
        <v>25</v>
      </c>
      <c r="E11" s="43" t="n">
        <v>27</v>
      </c>
      <c r="F11" s="43" t="n">
        <v>26</v>
      </c>
      <c r="G11" s="43" t="n">
        <v>28</v>
      </c>
      <c r="H11" s="43" t="n">
        <v>25</v>
      </c>
      <c r="I11" s="44" t="n">
        <v>0</v>
      </c>
      <c r="J11" s="44" t="n">
        <v>0</v>
      </c>
      <c r="K11" s="44" t="n">
        <v>0</v>
      </c>
      <c r="L11" s="44" t="n">
        <v>0</v>
      </c>
      <c r="M11" s="44" t="n">
        <v>0</v>
      </c>
      <c r="N11" s="44" t="n">
        <v>0</v>
      </c>
      <c r="O11" s="1"/>
      <c r="P11" s="1" t="s">
        <v>112</v>
      </c>
      <c r="Q11" s="45" t="n">
        <v>0.877</v>
      </c>
      <c r="R11" s="1"/>
      <c r="S11" s="1"/>
      <c r="T11" s="1"/>
    </row>
    <row r="12" customFormat="false" ht="19.5" hidden="false" customHeight="true" outlineLevel="0" collapsed="false">
      <c r="A12" s="1"/>
      <c r="B12" s="32" t="str">
        <f aca="false">'🏆 Identity Setup'!C30</f>
        <v>Read 20 Pages</v>
      </c>
      <c r="C12" s="46" t="n">
        <v>16</v>
      </c>
      <c r="D12" s="46" t="n">
        <v>20</v>
      </c>
      <c r="E12" s="46" t="n">
        <v>22</v>
      </c>
      <c r="F12" s="46" t="n">
        <v>25</v>
      </c>
      <c r="G12" s="46" t="n">
        <v>27</v>
      </c>
      <c r="H12" s="46" t="n">
        <v>24</v>
      </c>
      <c r="I12" s="47" t="n">
        <v>0</v>
      </c>
      <c r="J12" s="47" t="n">
        <v>0</v>
      </c>
      <c r="K12" s="47" t="n">
        <v>0</v>
      </c>
      <c r="L12" s="47" t="n">
        <v>0</v>
      </c>
      <c r="M12" s="47" t="n">
        <v>0</v>
      </c>
      <c r="N12" s="47" t="n">
        <v>0</v>
      </c>
      <c r="O12" s="1"/>
      <c r="P12" s="1" t="s">
        <v>113</v>
      </c>
      <c r="Q12" s="45" t="n">
        <v>0.797</v>
      </c>
      <c r="R12" s="1"/>
      <c r="S12" s="1"/>
      <c r="T12" s="1"/>
    </row>
    <row r="13" customFormat="false" ht="19.5" hidden="false" customHeight="true" outlineLevel="0" collapsed="false">
      <c r="A13" s="1"/>
      <c r="B13" s="28" t="str">
        <f aca="false">'🏆 Identity Setup'!C31</f>
        <v>Healthy Meal / No Junk</v>
      </c>
      <c r="C13" s="43" t="n">
        <v>18</v>
      </c>
      <c r="D13" s="43" t="n">
        <v>21</v>
      </c>
      <c r="E13" s="43" t="n">
        <v>23</v>
      </c>
      <c r="F13" s="43" t="n">
        <v>26</v>
      </c>
      <c r="G13" s="43" t="n">
        <v>28</v>
      </c>
      <c r="H13" s="43" t="n">
        <v>26</v>
      </c>
      <c r="I13" s="44" t="n">
        <v>0</v>
      </c>
      <c r="J13" s="44" t="n">
        <v>0</v>
      </c>
      <c r="K13" s="44" t="n">
        <v>0</v>
      </c>
      <c r="L13" s="44" t="n">
        <v>0</v>
      </c>
      <c r="M13" s="44" t="n">
        <v>0</v>
      </c>
      <c r="N13" s="44" t="n">
        <v>0</v>
      </c>
      <c r="O13" s="1"/>
      <c r="P13" s="1"/>
      <c r="Q13" s="1"/>
      <c r="R13" s="1"/>
      <c r="S13" s="1"/>
      <c r="T13" s="1"/>
    </row>
    <row r="14" customFormat="false" ht="19.5" hidden="false" customHeight="true" outlineLevel="0" collapsed="false">
      <c r="A14" s="1"/>
      <c r="B14" s="32" t="str">
        <f aca="false">'🏆 Identity Setup'!C32</f>
        <v>Evening Shutdown Ritual</v>
      </c>
      <c r="C14" s="46" t="n">
        <v>20</v>
      </c>
      <c r="D14" s="46" t="n">
        <v>22</v>
      </c>
      <c r="E14" s="46" t="n">
        <v>24</v>
      </c>
      <c r="F14" s="46" t="n">
        <v>25</v>
      </c>
      <c r="G14" s="46" t="n">
        <v>27</v>
      </c>
      <c r="H14" s="46" t="n">
        <v>25</v>
      </c>
      <c r="I14" s="47" t="n">
        <v>0</v>
      </c>
      <c r="J14" s="47" t="n">
        <v>0</v>
      </c>
      <c r="K14" s="47" t="n">
        <v>0</v>
      </c>
      <c r="L14" s="47" t="n">
        <v>0</v>
      </c>
      <c r="M14" s="47" t="n">
        <v>0</v>
      </c>
      <c r="N14" s="47" t="n">
        <v>0</v>
      </c>
      <c r="O14" s="1"/>
      <c r="P14" s="1"/>
      <c r="Q14" s="1"/>
      <c r="R14" s="1"/>
      <c r="S14" s="1"/>
      <c r="T14" s="1"/>
    </row>
    <row r="15" customFormat="false" ht="19.5" hidden="false" customHeight="true" outlineLevel="0" collapsed="false">
      <c r="A15" s="1"/>
      <c r="B15" s="28" t="str">
        <f aca="false">'🏆 Identity Setup'!C33</f>
        <v>Journaling</v>
      </c>
      <c r="C15" s="43" t="n">
        <v>14</v>
      </c>
      <c r="D15" s="43" t="n">
        <v>17</v>
      </c>
      <c r="E15" s="43" t="n">
        <v>19</v>
      </c>
      <c r="F15" s="43" t="n">
        <v>22</v>
      </c>
      <c r="G15" s="43" t="n">
        <v>25</v>
      </c>
      <c r="H15" s="43" t="n">
        <v>23</v>
      </c>
      <c r="I15" s="44" t="n">
        <v>0</v>
      </c>
      <c r="J15" s="44" t="n">
        <v>0</v>
      </c>
      <c r="K15" s="44" t="n">
        <v>0</v>
      </c>
      <c r="L15" s="44" t="n">
        <v>0</v>
      </c>
      <c r="M15" s="44" t="n">
        <v>0</v>
      </c>
      <c r="N15" s="44" t="n">
        <v>0</v>
      </c>
      <c r="O15" s="1"/>
      <c r="P15" s="1"/>
      <c r="Q15" s="1"/>
      <c r="R15" s="1"/>
      <c r="S15" s="1"/>
      <c r="T15" s="1"/>
    </row>
    <row r="16" customFormat="false" ht="19.5" hidden="false" customHeight="true" outlineLevel="0" collapsed="false">
      <c r="A16" s="1"/>
      <c r="B16" s="32" t="str">
        <f aca="false">'🏆 Identity Setup'!C34</f>
        <v>Drink 8 Glasses of Water</v>
      </c>
      <c r="C16" s="46" t="n">
        <v>25</v>
      </c>
      <c r="D16" s="46" t="n">
        <v>27</v>
      </c>
      <c r="E16" s="46" t="n">
        <v>28</v>
      </c>
      <c r="F16" s="46" t="n">
        <v>29</v>
      </c>
      <c r="G16" s="46" t="n">
        <v>30</v>
      </c>
      <c r="H16" s="46" t="n">
        <v>28</v>
      </c>
      <c r="I16" s="47" t="n">
        <v>0</v>
      </c>
      <c r="J16" s="47" t="n">
        <v>0</v>
      </c>
      <c r="K16" s="47" t="n">
        <v>0</v>
      </c>
      <c r="L16" s="47" t="n">
        <v>0</v>
      </c>
      <c r="M16" s="47" t="n">
        <v>0</v>
      </c>
      <c r="N16" s="47" t="n">
        <v>0</v>
      </c>
      <c r="O16" s="1"/>
      <c r="P16" s="1"/>
      <c r="Q16" s="1"/>
      <c r="R16" s="1"/>
      <c r="S16" s="1"/>
      <c r="T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</sheetData>
  <mergeCells count="6">
    <mergeCell ref="B1:N1"/>
    <mergeCell ref="B2:D3"/>
    <mergeCell ref="E2:G3"/>
    <mergeCell ref="H2:J3"/>
    <mergeCell ref="K2:M3"/>
    <mergeCell ref="B5:N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A1:N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35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4"/>
  </cols>
  <sheetData>
    <row r="1" customFormat="false" ht="39.75" hidden="false" customHeight="true" outlineLevel="0" collapsed="false">
      <c r="A1" s="1"/>
      <c r="B1" s="48" t="s">
        <v>122</v>
      </c>
      <c r="C1" s="48"/>
      <c r="D1" s="48"/>
      <c r="E1" s="48"/>
      <c r="F1" s="48"/>
      <c r="G1" s="48"/>
      <c r="H1" s="1"/>
      <c r="I1" s="1"/>
      <c r="J1" s="1"/>
      <c r="K1" s="1"/>
      <c r="L1" s="1"/>
      <c r="M1" s="1"/>
      <c r="N1" s="1"/>
    </row>
    <row r="2" customFormat="false" ht="21.75" hidden="false" customHeight="true" outlineLevel="0" collapsed="false">
      <c r="A2" s="1"/>
      <c r="B2" s="8" t="s">
        <v>123</v>
      </c>
      <c r="C2" s="8" t="s">
        <v>124</v>
      </c>
      <c r="D2" s="8" t="s">
        <v>125</v>
      </c>
      <c r="E2" s="8" t="s">
        <v>126</v>
      </c>
      <c r="F2" s="8" t="s">
        <v>127</v>
      </c>
      <c r="G2" s="8" t="s">
        <v>92</v>
      </c>
      <c r="H2" s="1"/>
      <c r="I2" s="1"/>
      <c r="J2" s="1"/>
      <c r="K2" s="1"/>
      <c r="L2" s="1"/>
      <c r="M2" s="1"/>
      <c r="N2" s="1"/>
    </row>
    <row r="3" customFormat="false" ht="13.5" hidden="false" customHeight="true" outlineLevel="0" collapsed="false">
      <c r="A3" s="1"/>
      <c r="B3" s="49" t="s">
        <v>128</v>
      </c>
      <c r="C3" s="50" t="s">
        <v>129</v>
      </c>
      <c r="D3" s="51" t="s">
        <v>130</v>
      </c>
      <c r="E3" s="52" t="s">
        <v>131</v>
      </c>
      <c r="F3" s="53" t="s">
        <v>132</v>
      </c>
      <c r="G3" s="54" t="s">
        <v>133</v>
      </c>
      <c r="H3" s="1"/>
      <c r="I3" s="1"/>
      <c r="J3" s="1"/>
      <c r="K3" s="1"/>
      <c r="L3" s="1"/>
      <c r="M3" s="1"/>
      <c r="N3" s="1"/>
    </row>
    <row r="4" customFormat="false" ht="39.75" hidden="false" customHeight="true" outlineLevel="0" collapsed="false">
      <c r="A4" s="1"/>
      <c r="B4" s="49"/>
      <c r="C4" s="49"/>
      <c r="D4" s="49"/>
      <c r="E4" s="49"/>
      <c r="F4" s="49"/>
      <c r="G4" s="49"/>
      <c r="H4" s="1"/>
      <c r="I4" s="1"/>
      <c r="J4" s="1"/>
      <c r="K4" s="1"/>
      <c r="L4" s="1"/>
      <c r="M4" s="1"/>
      <c r="N4" s="1"/>
    </row>
    <row r="5" customFormat="false" ht="13.5" hidden="false" customHeight="true" outlineLevel="0" collapsed="false">
      <c r="A5" s="1"/>
      <c r="B5" s="49" t="s">
        <v>134</v>
      </c>
      <c r="C5" s="55" t="s">
        <v>135</v>
      </c>
      <c r="D5" s="56" t="s">
        <v>136</v>
      </c>
      <c r="E5" s="57" t="s">
        <v>137</v>
      </c>
      <c r="F5" s="53" t="s">
        <v>138</v>
      </c>
      <c r="G5" s="58" t="s">
        <v>139</v>
      </c>
      <c r="H5" s="1"/>
      <c r="I5" s="1"/>
      <c r="J5" s="1"/>
      <c r="K5" s="1"/>
      <c r="L5" s="1"/>
      <c r="M5" s="1"/>
      <c r="N5" s="1"/>
    </row>
    <row r="6" customFormat="false" ht="39.75" hidden="false" customHeight="true" outlineLevel="0" collapsed="false">
      <c r="A6" s="1"/>
      <c r="B6" s="49"/>
      <c r="C6" s="49"/>
      <c r="D6" s="49"/>
      <c r="E6" s="49"/>
      <c r="F6" s="49"/>
      <c r="G6" s="49"/>
      <c r="H6" s="1"/>
      <c r="I6" s="1"/>
      <c r="J6" s="1"/>
      <c r="K6" s="1"/>
      <c r="L6" s="1"/>
      <c r="M6" s="1"/>
      <c r="N6" s="1"/>
    </row>
    <row r="7" customFormat="false" ht="13.5" hidden="false" customHeight="true" outlineLevel="0" collapsed="false">
      <c r="A7" s="1"/>
      <c r="B7" s="49" t="s">
        <v>140</v>
      </c>
      <c r="C7" s="59" t="s">
        <v>141</v>
      </c>
      <c r="D7" s="60" t="s">
        <v>142</v>
      </c>
      <c r="E7" s="61" t="s">
        <v>143</v>
      </c>
      <c r="F7" s="53" t="s">
        <v>144</v>
      </c>
      <c r="G7" s="62" t="s">
        <v>139</v>
      </c>
      <c r="H7" s="1"/>
      <c r="I7" s="1"/>
      <c r="J7" s="1"/>
      <c r="K7" s="1"/>
      <c r="L7" s="1"/>
      <c r="M7" s="1"/>
      <c r="N7" s="1"/>
    </row>
    <row r="8" customFormat="false" ht="39.75" hidden="false" customHeight="true" outlineLevel="0" collapsed="false">
      <c r="A8" s="1"/>
      <c r="B8" s="49"/>
      <c r="C8" s="49"/>
      <c r="D8" s="49"/>
      <c r="E8" s="49"/>
      <c r="F8" s="49"/>
      <c r="G8" s="49"/>
      <c r="H8" s="1"/>
      <c r="I8" s="1"/>
      <c r="J8" s="1"/>
      <c r="K8" s="1"/>
      <c r="L8" s="1"/>
      <c r="M8" s="1"/>
      <c r="N8" s="1"/>
    </row>
    <row r="9" customFormat="false" ht="13.5" hidden="false" customHeight="true" outlineLevel="0" collapsed="false">
      <c r="A9" s="1"/>
      <c r="B9" s="49" t="s">
        <v>145</v>
      </c>
      <c r="C9" s="63" t="s">
        <v>146</v>
      </c>
      <c r="D9" s="64" t="s">
        <v>147</v>
      </c>
      <c r="E9" s="65" t="s">
        <v>148</v>
      </c>
      <c r="F9" s="53" t="s">
        <v>149</v>
      </c>
      <c r="G9" s="66" t="s">
        <v>139</v>
      </c>
      <c r="H9" s="1"/>
      <c r="I9" s="1"/>
      <c r="J9" s="1"/>
      <c r="K9" s="1"/>
      <c r="L9" s="1"/>
      <c r="M9" s="1"/>
      <c r="N9" s="1"/>
    </row>
    <row r="10" customFormat="false" ht="39.75" hidden="false" customHeight="true" outlineLevel="0" collapsed="false">
      <c r="A10" s="1"/>
      <c r="B10" s="49"/>
      <c r="C10" s="49"/>
      <c r="D10" s="49"/>
      <c r="E10" s="49"/>
      <c r="F10" s="49"/>
      <c r="G10" s="49"/>
      <c r="H10" s="1"/>
      <c r="I10" s="1"/>
      <c r="J10" s="1"/>
      <c r="K10" s="1"/>
      <c r="L10" s="1"/>
      <c r="M10" s="1"/>
      <c r="N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customFormat="false" ht="36" hidden="false" customHeight="true" outlineLevel="0" collapsed="false">
      <c r="A12" s="1"/>
      <c r="B12" s="67" t="s">
        <v>150</v>
      </c>
      <c r="C12" s="67"/>
      <c r="D12" s="67"/>
      <c r="E12" s="67"/>
      <c r="F12" s="67"/>
      <c r="G12" s="67"/>
      <c r="H12" s="1"/>
      <c r="I12" s="1"/>
      <c r="J12" s="1"/>
      <c r="K12" s="1"/>
      <c r="L12" s="1"/>
      <c r="M12" s="1"/>
      <c r="N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</sheetData>
  <mergeCells count="26">
    <mergeCell ref="B1:G1"/>
    <mergeCell ref="B3:B4"/>
    <mergeCell ref="C3:C4"/>
    <mergeCell ref="D3:D4"/>
    <mergeCell ref="E3:E4"/>
    <mergeCell ref="F3:F4"/>
    <mergeCell ref="G3:G4"/>
    <mergeCell ref="B5:B6"/>
    <mergeCell ref="C5:C6"/>
    <mergeCell ref="D5:D6"/>
    <mergeCell ref="E5:E6"/>
    <mergeCell ref="F5:F6"/>
    <mergeCell ref="G5:G6"/>
    <mergeCell ref="B7:B8"/>
    <mergeCell ref="C7:C8"/>
    <mergeCell ref="D7:D8"/>
    <mergeCell ref="E7:E8"/>
    <mergeCell ref="F7:F8"/>
    <mergeCell ref="G7:G8"/>
    <mergeCell ref="B9:B10"/>
    <mergeCell ref="C9:C10"/>
    <mergeCell ref="D9:D10"/>
    <mergeCell ref="E9:E10"/>
    <mergeCell ref="F9:F10"/>
    <mergeCell ref="G9:G10"/>
    <mergeCell ref="B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A1:N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10" min="3" style="0" width="14"/>
    <col collapsed="false" customWidth="true" hidden="false" outlineLevel="0" max="11" min="11" style="0" width="4"/>
  </cols>
  <sheetData>
    <row r="1" customFormat="false" ht="39.75" hidden="false" customHeight="true" outlineLevel="0" collapsed="false">
      <c r="A1" s="1"/>
      <c r="B1" s="48" t="s">
        <v>151</v>
      </c>
      <c r="C1" s="48"/>
      <c r="D1" s="48"/>
      <c r="E1" s="48"/>
      <c r="F1" s="48"/>
      <c r="G1" s="48"/>
      <c r="H1" s="48"/>
      <c r="I1" s="48"/>
      <c r="J1" s="48"/>
      <c r="K1" s="1"/>
      <c r="L1" s="1"/>
      <c r="M1" s="1"/>
      <c r="N1" s="1"/>
    </row>
    <row r="2" customFormat="false" ht="19.5" hidden="false" customHeight="true" outlineLevel="0" collapsed="false">
      <c r="A2" s="1"/>
      <c r="B2" s="8" t="s">
        <v>78</v>
      </c>
      <c r="C2" s="8" t="s">
        <v>152</v>
      </c>
      <c r="D2" s="8" t="s">
        <v>153</v>
      </c>
      <c r="E2" s="8" t="s">
        <v>154</v>
      </c>
      <c r="F2" s="8" t="s">
        <v>155</v>
      </c>
      <c r="G2" s="8" t="s">
        <v>156</v>
      </c>
      <c r="H2" s="8" t="s">
        <v>157</v>
      </c>
      <c r="I2" s="8" t="s">
        <v>158</v>
      </c>
      <c r="J2" s="8" t="s">
        <v>159</v>
      </c>
      <c r="K2" s="1"/>
      <c r="L2" s="1"/>
      <c r="M2" s="1"/>
      <c r="N2" s="1"/>
    </row>
    <row r="3" customFormat="false" ht="21.75" hidden="false" customHeight="true" outlineLevel="0" collapsed="false">
      <c r="A3" s="1"/>
      <c r="B3" s="28" t="str">
        <f aca="false">'🏆 Identity Setup'!C25</f>
        <v>Wake Up Early (6am)</v>
      </c>
      <c r="C3" s="68" t="n">
        <v>0.58</v>
      </c>
      <c r="D3" s="68" t="n">
        <v>0.71</v>
      </c>
      <c r="E3" s="68" t="n">
        <v>0.81</v>
      </c>
      <c r="F3" s="68" t="n">
        <v>0.65</v>
      </c>
      <c r="G3" s="68" t="n">
        <v>0.9</v>
      </c>
      <c r="H3" s="68" t="n">
        <v>0.77</v>
      </c>
      <c r="I3" s="69" t="n">
        <f aca="false">AVERAGE(C3:H3)</f>
        <v>0.736666666666667</v>
      </c>
      <c r="J3" s="34" t="str">
        <f aca="false">IF(I3&gt;=0.9,"S — ELITE",IF(I3&gt;=0.75,"A — STRONG",IF(I3&gt;=0.6,"B — BUILDING",IF(I3&gt;=0.45,"C — INCONSISTENT","D — RESTART"))))</f>
        <v>B — BUILDING</v>
      </c>
      <c r="K3" s="1"/>
      <c r="L3" s="1"/>
      <c r="M3" s="1"/>
      <c r="N3" s="1"/>
    </row>
    <row r="4" customFormat="false" ht="21.75" hidden="false" customHeight="true" outlineLevel="0" collapsed="false">
      <c r="A4" s="1"/>
      <c r="B4" s="32" t="str">
        <f aca="false">'🏆 Identity Setup'!C26</f>
        <v>Morning Meditation</v>
      </c>
      <c r="C4" s="70" t="n">
        <v>0.48</v>
      </c>
      <c r="D4" s="70" t="n">
        <v>0.58</v>
      </c>
      <c r="E4" s="70" t="n">
        <v>0.65</v>
      </c>
      <c r="F4" s="70" t="n">
        <v>0.71</v>
      </c>
      <c r="G4" s="70" t="n">
        <v>0.81</v>
      </c>
      <c r="H4" s="70" t="n">
        <v>0.74</v>
      </c>
      <c r="I4" s="69" t="n">
        <f aca="false">AVERAGE(C4:H4)</f>
        <v>0.661666666666667</v>
      </c>
      <c r="J4" s="34" t="str">
        <f aca="false">IF(I4&gt;=0.9,"S — ELITE",IF(I4&gt;=0.75,"A — STRONG",IF(I4&gt;=0.6,"B — BUILDING",IF(I4&gt;=0.45,"C — INCONSISTENT","D — RESTART"))))</f>
        <v>B — BUILDING</v>
      </c>
      <c r="K4" s="1"/>
      <c r="L4" s="1"/>
      <c r="M4" s="1"/>
      <c r="N4" s="1"/>
    </row>
    <row r="5" customFormat="false" ht="21.75" hidden="false" customHeight="true" outlineLevel="0" collapsed="false">
      <c r="A5" s="1"/>
      <c r="B5" s="28" t="str">
        <f aca="false">'🏆 Identity Setup'!C27</f>
        <v>Deep Work Block (90 min)</v>
      </c>
      <c r="C5" s="68" t="n">
        <v>0.65</v>
      </c>
      <c r="D5" s="68" t="n">
        <v>0.77</v>
      </c>
      <c r="E5" s="68" t="n">
        <v>0.84</v>
      </c>
      <c r="F5" s="68" t="n">
        <v>0.9</v>
      </c>
      <c r="G5" s="68" t="n">
        <v>0.97</v>
      </c>
      <c r="H5" s="68" t="n">
        <v>0.87</v>
      </c>
      <c r="I5" s="69" t="n">
        <f aca="false">AVERAGE(C5:H5)</f>
        <v>0.833333333333333</v>
      </c>
      <c r="J5" s="34" t="str">
        <f aca="false">IF(I5&gt;=0.9,"S — ELITE",IF(I5&gt;=0.75,"A — STRONG",IF(I5&gt;=0.6,"B — BUILDING",IF(I5&gt;=0.45,"C — INCONSISTENT","D — RESTART"))))</f>
        <v>A — STRONG</v>
      </c>
      <c r="K5" s="1"/>
      <c r="L5" s="1"/>
      <c r="M5" s="1"/>
      <c r="N5" s="1"/>
    </row>
    <row r="6" customFormat="false" ht="21.75" hidden="false" customHeight="true" outlineLevel="0" collapsed="false">
      <c r="A6" s="1"/>
      <c r="B6" s="32" t="str">
        <f aca="false">'🏆 Identity Setup'!C28</f>
        <v>No Social Media Before 10am</v>
      </c>
      <c r="C6" s="70" t="n">
        <v>0.39</v>
      </c>
      <c r="D6" s="70" t="n">
        <v>0.52</v>
      </c>
      <c r="E6" s="70" t="n">
        <v>0.61</v>
      </c>
      <c r="F6" s="70" t="n">
        <v>0.68</v>
      </c>
      <c r="G6" s="70" t="n">
        <v>0.77</v>
      </c>
      <c r="H6" s="70" t="n">
        <v>0.71</v>
      </c>
      <c r="I6" s="69" t="n">
        <f aca="false">AVERAGE(C6:H6)</f>
        <v>0.613333333333333</v>
      </c>
      <c r="J6" s="34" t="str">
        <f aca="false">IF(I6&gt;=0.9,"S — ELITE",IF(I6&gt;=0.75,"A — STRONG",IF(I6&gt;=0.6,"B — BUILDING",IF(I6&gt;=0.45,"C — INCONSISTENT","D — RESTART"))))</f>
        <v>B — BUILDING</v>
      </c>
      <c r="K6" s="1"/>
      <c r="L6" s="1"/>
      <c r="M6" s="1"/>
      <c r="N6" s="1"/>
    </row>
    <row r="7" customFormat="false" ht="21.75" hidden="false" customHeight="true" outlineLevel="0" collapsed="false">
      <c r="A7" s="1"/>
      <c r="B7" s="28" t="str">
        <f aca="false">'🏆 Identity Setup'!C29</f>
        <v>Exercise / Move Body</v>
      </c>
      <c r="C7" s="68" t="n">
        <v>0.71</v>
      </c>
      <c r="D7" s="68" t="n">
        <v>0.81</v>
      </c>
      <c r="E7" s="68" t="n">
        <v>0.87</v>
      </c>
      <c r="F7" s="68" t="n">
        <v>0.84</v>
      </c>
      <c r="G7" s="68" t="n">
        <v>0.9</v>
      </c>
      <c r="H7" s="68" t="n">
        <v>0.81</v>
      </c>
      <c r="I7" s="69" t="n">
        <f aca="false">AVERAGE(C7:H7)</f>
        <v>0.823333333333333</v>
      </c>
      <c r="J7" s="34" t="str">
        <f aca="false">IF(I7&gt;=0.9,"S — ELITE",IF(I7&gt;=0.75,"A — STRONG",IF(I7&gt;=0.6,"B — BUILDING",IF(I7&gt;=0.45,"C — INCONSISTENT","D — RESTART"))))</f>
        <v>A — STRONG</v>
      </c>
      <c r="K7" s="1"/>
      <c r="L7" s="1"/>
      <c r="M7" s="1"/>
      <c r="N7" s="1"/>
    </row>
    <row r="8" customFormat="false" ht="21.75" hidden="false" customHeight="true" outlineLevel="0" collapsed="false">
      <c r="A8" s="1"/>
      <c r="B8" s="32" t="str">
        <f aca="false">'🏆 Identity Setup'!C30</f>
        <v>Read 20 Pages</v>
      </c>
      <c r="C8" s="70" t="n">
        <v>0.52</v>
      </c>
      <c r="D8" s="70" t="n">
        <v>0.65</v>
      </c>
      <c r="E8" s="70" t="n">
        <v>0.71</v>
      </c>
      <c r="F8" s="70" t="n">
        <v>0.81</v>
      </c>
      <c r="G8" s="70" t="n">
        <v>0.87</v>
      </c>
      <c r="H8" s="70" t="n">
        <v>0.77</v>
      </c>
      <c r="I8" s="69" t="n">
        <f aca="false">AVERAGE(C8:H8)</f>
        <v>0.721666666666667</v>
      </c>
      <c r="J8" s="34" t="str">
        <f aca="false">IF(I8&gt;=0.9,"S — ELITE",IF(I8&gt;=0.75,"A — STRONG",IF(I8&gt;=0.6,"B — BUILDING",IF(I8&gt;=0.45,"C — INCONSISTENT","D — RESTART"))))</f>
        <v>B — BUILDING</v>
      </c>
      <c r="K8" s="1"/>
      <c r="L8" s="1"/>
      <c r="M8" s="1"/>
      <c r="N8" s="1"/>
    </row>
    <row r="9" customFormat="false" ht="21.75" hidden="false" customHeight="true" outlineLevel="0" collapsed="false">
      <c r="A9" s="1"/>
      <c r="B9" s="28" t="str">
        <f aca="false">'🏆 Identity Setup'!C31</f>
        <v>Healthy Meal / No Junk</v>
      </c>
      <c r="C9" s="68" t="n">
        <v>0.58</v>
      </c>
      <c r="D9" s="68" t="n">
        <v>0.68</v>
      </c>
      <c r="E9" s="68" t="n">
        <v>0.74</v>
      </c>
      <c r="F9" s="68" t="n">
        <v>0.84</v>
      </c>
      <c r="G9" s="68" t="n">
        <v>0.9</v>
      </c>
      <c r="H9" s="68" t="n">
        <v>0.84</v>
      </c>
      <c r="I9" s="69" t="n">
        <f aca="false">AVERAGE(C9:H9)</f>
        <v>0.763333333333333</v>
      </c>
      <c r="J9" s="34" t="str">
        <f aca="false">IF(I9&gt;=0.9,"S — ELITE",IF(I9&gt;=0.75,"A — STRONG",IF(I9&gt;=0.6,"B — BUILDING",IF(I9&gt;=0.45,"C — INCONSISTENT","D — RESTART"))))</f>
        <v>A — STRONG</v>
      </c>
      <c r="K9" s="1"/>
      <c r="L9" s="1"/>
      <c r="M9" s="1"/>
      <c r="N9" s="1"/>
    </row>
    <row r="10" customFormat="false" ht="21.75" hidden="false" customHeight="true" outlineLevel="0" collapsed="false">
      <c r="A10" s="1"/>
      <c r="B10" s="32" t="str">
        <f aca="false">'🏆 Identity Setup'!C32</f>
        <v>Evening Shutdown Ritual</v>
      </c>
      <c r="C10" s="70" t="n">
        <v>0.65</v>
      </c>
      <c r="D10" s="70" t="n">
        <v>0.71</v>
      </c>
      <c r="E10" s="70" t="n">
        <v>0.77</v>
      </c>
      <c r="F10" s="70" t="n">
        <v>0.81</v>
      </c>
      <c r="G10" s="70" t="n">
        <v>0.87</v>
      </c>
      <c r="H10" s="70" t="n">
        <v>0.81</v>
      </c>
      <c r="I10" s="69" t="n">
        <f aca="false">AVERAGE(C10:H10)</f>
        <v>0.77</v>
      </c>
      <c r="J10" s="34" t="str">
        <f aca="false">IF(I10&gt;=0.9,"S — ELITE",IF(I10&gt;=0.75,"A — STRONG",IF(I10&gt;=0.6,"B — BUILDING",IF(I10&gt;=0.45,"C — INCONSISTENT","D — RESTART"))))</f>
        <v>A — STRONG</v>
      </c>
      <c r="K10" s="1"/>
      <c r="L10" s="1"/>
      <c r="M10" s="1"/>
      <c r="N10" s="1"/>
    </row>
    <row r="11" customFormat="false" ht="21.75" hidden="false" customHeight="true" outlineLevel="0" collapsed="false">
      <c r="A11" s="1"/>
      <c r="B11" s="28" t="str">
        <f aca="false">'🏆 Identity Setup'!C33</f>
        <v>Journaling</v>
      </c>
      <c r="C11" s="68" t="n">
        <v>0.45</v>
      </c>
      <c r="D11" s="68" t="n">
        <v>0.55</v>
      </c>
      <c r="E11" s="68" t="n">
        <v>0.61</v>
      </c>
      <c r="F11" s="68" t="n">
        <v>0.71</v>
      </c>
      <c r="G11" s="68" t="n">
        <v>0.81</v>
      </c>
      <c r="H11" s="68" t="n">
        <v>0.74</v>
      </c>
      <c r="I11" s="69" t="n">
        <f aca="false">AVERAGE(C11:H11)</f>
        <v>0.645</v>
      </c>
      <c r="J11" s="34" t="str">
        <f aca="false">IF(I11&gt;=0.9,"S — ELITE",IF(I11&gt;=0.75,"A — STRONG",IF(I11&gt;=0.6,"B — BUILDING",IF(I11&gt;=0.45,"C — INCONSISTENT","D — RESTART"))))</f>
        <v>B — BUILDING</v>
      </c>
      <c r="K11" s="1"/>
      <c r="L11" s="1"/>
      <c r="M11" s="1"/>
      <c r="N11" s="1"/>
    </row>
    <row r="12" customFormat="false" ht="21.75" hidden="false" customHeight="true" outlineLevel="0" collapsed="false">
      <c r="A12" s="1"/>
      <c r="B12" s="32" t="str">
        <f aca="false">'🏆 Identity Setup'!C34</f>
        <v>Drink 8 Glasses of Water</v>
      </c>
      <c r="C12" s="70" t="n">
        <v>0.81</v>
      </c>
      <c r="D12" s="70" t="n">
        <v>0.87</v>
      </c>
      <c r="E12" s="70" t="n">
        <v>0.9</v>
      </c>
      <c r="F12" s="70" t="n">
        <v>0.94</v>
      </c>
      <c r="G12" s="70" t="n">
        <v>0.97</v>
      </c>
      <c r="H12" s="70" t="n">
        <v>0.9</v>
      </c>
      <c r="I12" s="69" t="n">
        <f aca="false">AVERAGE(C12:H12)</f>
        <v>0.898333333333333</v>
      </c>
      <c r="J12" s="34" t="str">
        <f aca="false">IF(I12&gt;=0.9,"S — ELITE",IF(I12&gt;=0.75,"A — STRONG",IF(I12&gt;=0.6,"B — BUILDING",IF(I12&gt;=0.45,"C — INCONSISTENT","D — RESTART"))))</f>
        <v>A — STRONG</v>
      </c>
      <c r="K12" s="1"/>
      <c r="L12" s="1"/>
      <c r="M12" s="1"/>
      <c r="N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customFormat="false" ht="21.75" hidden="false" customHeight="true" outlineLevel="0" collapsed="false">
      <c r="A14" s="1"/>
      <c r="B14" s="71" t="s">
        <v>160</v>
      </c>
      <c r="C14" s="71"/>
      <c r="D14" s="71"/>
      <c r="E14" s="71"/>
      <c r="F14" s="71"/>
      <c r="G14" s="71"/>
      <c r="H14" s="71"/>
      <c r="I14" s="71"/>
      <c r="J14" s="71"/>
      <c r="K14" s="1"/>
      <c r="L14" s="1"/>
      <c r="M14" s="1"/>
      <c r="N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</sheetData>
  <mergeCells count="2">
    <mergeCell ref="B1:J1"/>
    <mergeCell ref="B14:J14"/>
  </mergeCells>
  <conditionalFormatting sqref="C3:H12">
    <cfRule type="colorScale" priority="2">
      <colorScale>
        <cfvo type="num" val="0"/>
        <cfvo type="num" val="0.6"/>
        <cfvo type="num" val="1"/>
        <color rgb="FFE74C3C"/>
        <color rgb="FFF39C12"/>
        <color rgb="FF2ECC71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2026-06-09T20:33:07Z</dcterms:created>
  <dc:creator>openpyxl</dc:creator>
  <dc:description/>
  <dc:language>en-US</dc:language>
  <cp:lastModifiedBy/>
  <dcterms:modified xsi:type="dcterms:W3CDTF">2026-06-09T20:33:16Z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